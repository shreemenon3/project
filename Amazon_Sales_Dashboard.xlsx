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19416" windowHeight="11496" activeTab="2"/>
  </bookViews>
  <sheets>
    <sheet name="pivot table1" sheetId="5" r:id="rId1"/>
    <sheet name="Amazon Sales Data" sheetId="1" r:id="rId2"/>
    <sheet name="Dashboard" sheetId="3" r:id="rId3"/>
  </sheets>
  <definedNames>
    <definedName name="_xlcn.WorksheetConnection_amazonsalesdashboard.xlsxTable11" hidden="1">Table1[]</definedName>
    <definedName name="Slicer_Category">#N/A</definedName>
    <definedName name="Slicer_MONTH">#N/A</definedName>
    <definedName name="Slicer_Region">#N/A</definedName>
  </definedNames>
  <calcPr calcId="144525"/>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mazon sales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5" l="1"/>
  <c r="D23" i="5" l="1"/>
  <c r="P39" i="1" l="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31" i="1"/>
  <c r="P32" i="1"/>
  <c r="P33" i="1"/>
  <c r="P34" i="1"/>
  <c r="P35" i="1"/>
  <c r="P36" i="1"/>
  <c r="P37" i="1"/>
  <c r="P38" i="1"/>
  <c r="P30" i="1"/>
  <c r="P3" i="1"/>
  <c r="P4" i="1"/>
  <c r="P5" i="1"/>
  <c r="P6" i="1"/>
  <c r="P7" i="1"/>
  <c r="P8" i="1"/>
  <c r="P9" i="1"/>
  <c r="P10" i="1"/>
  <c r="P11" i="1"/>
  <c r="P12" i="1"/>
  <c r="P13" i="1"/>
  <c r="P14" i="1"/>
  <c r="P15" i="1"/>
  <c r="P16" i="1"/>
  <c r="P17" i="1"/>
  <c r="P18" i="1"/>
  <c r="P19" i="1"/>
  <c r="P20" i="1"/>
  <c r="P21" i="1"/>
  <c r="P22" i="1"/>
  <c r="P23" i="1"/>
  <c r="P24" i="1"/>
  <c r="P25" i="1"/>
  <c r="P26" i="1"/>
  <c r="P27" i="1"/>
  <c r="P28" i="1"/>
  <c r="P29"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mazon sales dashboard.xlsx!Table1" type="102" refreshedVersion="8" minRefreshableVersion="5">
    <extLst>
      <ext xmlns:x15="http://schemas.microsoft.com/office/spreadsheetml/2010/11/main" uri="{DE250136-89BD-433C-8126-D09CA5730AF9}">
        <x15:connection id="Table1" autoDelete="1">
          <x15:rangePr sourceName="_xlcn.WorksheetConnection_amazonsalesdashboard.xlsxTable11"/>
        </x15:connection>
      </ext>
    </extLst>
  </connection>
</connections>
</file>

<file path=xl/sharedStrings.xml><?xml version="1.0" encoding="utf-8"?>
<sst xmlns="http://schemas.openxmlformats.org/spreadsheetml/2006/main" count="861" uniqueCount="219">
  <si>
    <t>Order ID</t>
  </si>
  <si>
    <t>Order Date</t>
  </si>
  <si>
    <t>Product Name</t>
  </si>
  <si>
    <t>Category</t>
  </si>
  <si>
    <t>Subcategory</t>
  </si>
  <si>
    <t>Region</t>
  </si>
  <si>
    <t>Quantity</t>
  </si>
  <si>
    <t>Selling Price</t>
  </si>
  <si>
    <t>Cost Price</t>
  </si>
  <si>
    <t>Discount (%)</t>
  </si>
  <si>
    <t>Total Sales</t>
  </si>
  <si>
    <t>Profit</t>
  </si>
  <si>
    <t>Payment Mode</t>
  </si>
  <si>
    <t>Order Status</t>
  </si>
  <si>
    <t>ORD001</t>
  </si>
  <si>
    <t>19-02-2026</t>
  </si>
  <si>
    <t>Jeans</t>
  </si>
  <si>
    <t>Clothing</t>
  </si>
  <si>
    <t>Denim</t>
  </si>
  <si>
    <t>East</t>
  </si>
  <si>
    <t>UPI</t>
  </si>
  <si>
    <t>Delivered</t>
  </si>
  <si>
    <t>ORD002</t>
  </si>
  <si>
    <t>08-01-2026</t>
  </si>
  <si>
    <t>Shoes</t>
  </si>
  <si>
    <t>Footwear</t>
  </si>
  <si>
    <t>Sports</t>
  </si>
  <si>
    <t>South</t>
  </si>
  <si>
    <t>Card</t>
  </si>
  <si>
    <t>ORD003</t>
  </si>
  <si>
    <t>28-02-2026</t>
  </si>
  <si>
    <t>North</t>
  </si>
  <si>
    <t>Cash</t>
  </si>
  <si>
    <t>Returned</t>
  </si>
  <si>
    <t>ORD004</t>
  </si>
  <si>
    <t>04-02-2026</t>
  </si>
  <si>
    <t>Shampoo</t>
  </si>
  <si>
    <t>Personal Care</t>
  </si>
  <si>
    <t>Hair Care</t>
  </si>
  <si>
    <t>COD</t>
  </si>
  <si>
    <t>ORD005</t>
  </si>
  <si>
    <t>24-03-2026</t>
  </si>
  <si>
    <t>ORD006</t>
  </si>
  <si>
    <t>04-01-2026</t>
  </si>
  <si>
    <t>Headphones</t>
  </si>
  <si>
    <t>Electronics</t>
  </si>
  <si>
    <t>Accessories</t>
  </si>
  <si>
    <t>ORD007</t>
  </si>
  <si>
    <t>26-02-2026</t>
  </si>
  <si>
    <t>Laptop</t>
  </si>
  <si>
    <t>Computers</t>
  </si>
  <si>
    <t>West</t>
  </si>
  <si>
    <t>Cancelled</t>
  </si>
  <si>
    <t>ORD008</t>
  </si>
  <si>
    <t>15-02-2026</t>
  </si>
  <si>
    <t>ORD009</t>
  </si>
  <si>
    <t>13-01-2026</t>
  </si>
  <si>
    <t>Watch</t>
  </si>
  <si>
    <t>Fashion</t>
  </si>
  <si>
    <t>ORD010</t>
  </si>
  <si>
    <t>29-01-2026</t>
  </si>
  <si>
    <t>Mobile</t>
  </si>
  <si>
    <t>Smartphones</t>
  </si>
  <si>
    <t>ORD011</t>
  </si>
  <si>
    <t>09-02-2026</t>
  </si>
  <si>
    <t>ORD012</t>
  </si>
  <si>
    <t>06-02-2026</t>
  </si>
  <si>
    <t>Bag</t>
  </si>
  <si>
    <t>Travel</t>
  </si>
  <si>
    <t>ORD013</t>
  </si>
  <si>
    <t>10-02-2026</t>
  </si>
  <si>
    <t>T-Shirt</t>
  </si>
  <si>
    <t>Casual</t>
  </si>
  <si>
    <t>ORD014</t>
  </si>
  <si>
    <t>ORD015</t>
  </si>
  <si>
    <t>19-03-2026</t>
  </si>
  <si>
    <t>ORD016</t>
  </si>
  <si>
    <t>ORD018</t>
  </si>
  <si>
    <t>01-02-2026</t>
  </si>
  <si>
    <t>ORD019</t>
  </si>
  <si>
    <t>25-02-2026</t>
  </si>
  <si>
    <t>Perfume</t>
  </si>
  <si>
    <t>Fragrance</t>
  </si>
  <si>
    <t>ORD020</t>
  </si>
  <si>
    <t>07-02-2026</t>
  </si>
  <si>
    <t>ORD021</t>
  </si>
  <si>
    <t>14-01-2026</t>
  </si>
  <si>
    <t>ORD022</t>
  </si>
  <si>
    <t>28-01-2026</t>
  </si>
  <si>
    <t>ORD023</t>
  </si>
  <si>
    <t>02-02-2026</t>
  </si>
  <si>
    <t>ORD024</t>
  </si>
  <si>
    <t>12-01-2026</t>
  </si>
  <si>
    <t>ORD025</t>
  </si>
  <si>
    <t>20-01-2026</t>
  </si>
  <si>
    <t>ORD026</t>
  </si>
  <si>
    <t>15-01-2026</t>
  </si>
  <si>
    <t>ORD027</t>
  </si>
  <si>
    <t>23-01-2026</t>
  </si>
  <si>
    <t>ORD028</t>
  </si>
  <si>
    <t>16-03-2026</t>
  </si>
  <si>
    <t>ORD029</t>
  </si>
  <si>
    <t>ORD030</t>
  </si>
  <si>
    <t>25-03-2026</t>
  </si>
  <si>
    <t>ORD031</t>
  </si>
  <si>
    <t>ORD032</t>
  </si>
  <si>
    <t>02-01-2026</t>
  </si>
  <si>
    <t>ORD033</t>
  </si>
  <si>
    <t>ORD034</t>
  </si>
  <si>
    <t>ORD035</t>
  </si>
  <si>
    <t>17-03-2026</t>
  </si>
  <si>
    <t>ORD036</t>
  </si>
  <si>
    <t>27-03-2026</t>
  </si>
  <si>
    <t>ORD037</t>
  </si>
  <si>
    <t>ORD038</t>
  </si>
  <si>
    <t>26-01-2026</t>
  </si>
  <si>
    <t>ORD039</t>
  </si>
  <si>
    <t>ORD040</t>
  </si>
  <si>
    <t>08-03-2026</t>
  </si>
  <si>
    <t>ORD041</t>
  </si>
  <si>
    <t>ORD042</t>
  </si>
  <si>
    <t>ORD043</t>
  </si>
  <si>
    <t>12-03-2026</t>
  </si>
  <si>
    <t>ORD044</t>
  </si>
  <si>
    <t>23-03-2026</t>
  </si>
  <si>
    <t>ORD045</t>
  </si>
  <si>
    <t>11-01-2026</t>
  </si>
  <si>
    <t>ORD046</t>
  </si>
  <si>
    <t>22-03-2026</t>
  </si>
  <si>
    <t>ORD047</t>
  </si>
  <si>
    <t>24-02-2026</t>
  </si>
  <si>
    <t>ORD048</t>
  </si>
  <si>
    <t>ORD049</t>
  </si>
  <si>
    <t>ORD050</t>
  </si>
  <si>
    <t>31-03-2026</t>
  </si>
  <si>
    <t>ORD051</t>
  </si>
  <si>
    <t>22-02-2026</t>
  </si>
  <si>
    <t>ORD052</t>
  </si>
  <si>
    <t>03-01-2026</t>
  </si>
  <si>
    <t>ORD053</t>
  </si>
  <si>
    <t>ORD054</t>
  </si>
  <si>
    <t>07-01-2026</t>
  </si>
  <si>
    <t>ORD055</t>
  </si>
  <si>
    <t>ORD056</t>
  </si>
  <si>
    <t>28-03-2026</t>
  </si>
  <si>
    <t>ORD057</t>
  </si>
  <si>
    <t>ORD058</t>
  </si>
  <si>
    <t>30-01-2026</t>
  </si>
  <si>
    <t>ORD059</t>
  </si>
  <si>
    <t>ORD060</t>
  </si>
  <si>
    <t>ORD061</t>
  </si>
  <si>
    <t>ORD062</t>
  </si>
  <si>
    <t>ORD063</t>
  </si>
  <si>
    <t>07-03-2026</t>
  </si>
  <si>
    <t>ORD064</t>
  </si>
  <si>
    <t>ORD065</t>
  </si>
  <si>
    <t>ORD066</t>
  </si>
  <si>
    <t>ORD067</t>
  </si>
  <si>
    <t>ORD068</t>
  </si>
  <si>
    <t>11-02-2026</t>
  </si>
  <si>
    <t>ORD069</t>
  </si>
  <si>
    <t>01-01-2026</t>
  </si>
  <si>
    <t>ORD070</t>
  </si>
  <si>
    <t>ORD071</t>
  </si>
  <si>
    <t>ORD072</t>
  </si>
  <si>
    <t>09-03-2026</t>
  </si>
  <si>
    <t>ORD073</t>
  </si>
  <si>
    <t>ORD074</t>
  </si>
  <si>
    <t>ORD075</t>
  </si>
  <si>
    <t>ORD076</t>
  </si>
  <si>
    <t>17-02-2026</t>
  </si>
  <si>
    <t>ORD077</t>
  </si>
  <si>
    <t>ORD078</t>
  </si>
  <si>
    <t>05-02-2026</t>
  </si>
  <si>
    <t>ORD079</t>
  </si>
  <si>
    <t>18-02-2026</t>
  </si>
  <si>
    <t>ORD080</t>
  </si>
  <si>
    <t>05-01-2026</t>
  </si>
  <si>
    <t>ORD081</t>
  </si>
  <si>
    <t>14-03-2026</t>
  </si>
  <si>
    <t>ORD082</t>
  </si>
  <si>
    <t>09-01-2026</t>
  </si>
  <si>
    <t>ORD083</t>
  </si>
  <si>
    <t>ORD084</t>
  </si>
  <si>
    <t>25-01-2026</t>
  </si>
  <si>
    <t>ORD085</t>
  </si>
  <si>
    <t>ORD086</t>
  </si>
  <si>
    <t>ORD087</t>
  </si>
  <si>
    <t>ORD088</t>
  </si>
  <si>
    <t>29-03-2026</t>
  </si>
  <si>
    <t>ORD089</t>
  </si>
  <si>
    <t>21-01-2026</t>
  </si>
  <si>
    <t>ORD090</t>
  </si>
  <si>
    <t>ORD091</t>
  </si>
  <si>
    <t>02-03-2026</t>
  </si>
  <si>
    <t>ORD092</t>
  </si>
  <si>
    <t>ORD093</t>
  </si>
  <si>
    <t>ORD094</t>
  </si>
  <si>
    <t>03-03-2026</t>
  </si>
  <si>
    <t>ORD095</t>
  </si>
  <si>
    <t>ORD096</t>
  </si>
  <si>
    <t>ORD097</t>
  </si>
  <si>
    <t>ORD098</t>
  </si>
  <si>
    <t>21-02-2026</t>
  </si>
  <si>
    <t>ORD099</t>
  </si>
  <si>
    <t>18-01-2026</t>
  </si>
  <si>
    <t>ORD100</t>
  </si>
  <si>
    <t>Grand Total</t>
  </si>
  <si>
    <t>Row Labels</t>
  </si>
  <si>
    <t>YEAR</t>
  </si>
  <si>
    <t>MONTH</t>
  </si>
  <si>
    <t>Sum of Total Sales</t>
  </si>
  <si>
    <t>Count of Order ID</t>
  </si>
  <si>
    <t>Apr</t>
  </si>
  <si>
    <t>Feb</t>
  </si>
  <si>
    <t>Jan</t>
  </si>
  <si>
    <t>Mar</t>
  </si>
  <si>
    <t>Sum of Profit</t>
  </si>
  <si>
    <t>Sum of Discount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</si>
</sst>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8">
    <dxf>
      <numFmt numFmtId="0" formatCode="General"/>
    </dxf>
    <dxf>
      <numFmt numFmtId="0" formatCode="General"/>
    </dxf>
    <dxf>
      <fill>
        <patternFill>
          <bgColor theme="1" tint="0.14996795556505021"/>
        </patternFill>
      </fill>
    </dxf>
    <dxf>
      <fill>
        <patternFill>
          <bgColor theme="2" tint="-9.9948118533890809E-2"/>
        </patternFill>
      </fill>
    </dxf>
    <dxf>
      <font>
        <color theme="1"/>
        <name val="Abadi ExtraLight"/>
        <scheme val="none"/>
      </font>
      <fill>
        <patternFill>
          <bgColor theme="0" tint="-0.24994659260841701"/>
        </patternFill>
      </fill>
      <border>
        <left style="thin">
          <color auto="1"/>
        </left>
        <right style="thin">
          <color auto="1"/>
        </right>
        <top style="thin">
          <color auto="1"/>
        </top>
        <bottom style="thin">
          <color auto="1"/>
        </bottom>
      </border>
    </dxf>
    <dxf>
      <font>
        <color theme="2" tint="-0.24994659260841701"/>
      </font>
    </dxf>
    <dxf>
      <font>
        <color theme="1"/>
      </font>
    </dxf>
    <dxf>
      <font>
        <strike/>
        <color theme="2" tint="-0.24994659260841701"/>
      </font>
    </dxf>
  </dxfs>
  <tableStyles count="4" defaultTableStyle="TableStyleMedium9" defaultPivotStyle="PivotStyleLight16">
    <tableStyle name="Slicer Style 1" pivot="0" table="0" count="3">
      <tableStyleElement type="wholeTable" dxfId="7"/>
      <tableStyleElement type="headerRow" dxfId="6"/>
    </tableStyle>
    <tableStyle name="Slicer Style 2" pivot="0" table="0" count="1">
      <tableStyleElement type="wholeTable" dxfId="5"/>
    </tableStyle>
    <tableStyle name="Slicer Style 3" pivot="0" table="0" count="2">
      <tableStyleElement type="wholeTable" dxfId="4"/>
      <tableStyleElement type="headerRow" dxfId="3"/>
    </tableStyle>
    <tableStyle name="Slicer Style 4" pivot="0" table="0" count="1">
      <tableStyleElement type="wholeTable" dxfId="2"/>
    </tableStyle>
  </tableStyles>
  <colors>
    <mruColors>
      <color rgb="FFC09CA9"/>
    </mruColors>
  </colors>
  <extLst>
    <ext xmlns:x14="http://schemas.microsoft.com/office/spreadsheetml/2009/9/main" uri="{46F421CA-312F-682f-3DD2-61675219B42D}">
      <x14:dxfs count="1">
        <dxf>
          <font>
            <color theme="2"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table1!PivotTable9</c:name>
    <c:fmtId val="20"/>
  </c:pivotSource>
  <c:chart>
    <c:autoTitleDeleted val="1"/>
    <c:pivotFmts>
      <c:pivotFmt>
        <c:idx val="0"/>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2"/>
          </a:solidFill>
          <a:ln>
            <a:noFill/>
          </a:ln>
          <a:effectLst/>
        </c:spPr>
        <c:marker>
          <c:symbol val="none"/>
        </c:marker>
        <c:dLbl>
          <c:idx val="0"/>
          <c:layout/>
          <c:spPr>
            <a:noFill/>
            <a:ln>
              <a:noFill/>
            </a:ln>
            <a:effectLst/>
          </c:spPr>
          <c:txPr>
            <a:bodyPr rot="0" vert="horz"/>
            <a:lstStyle/>
            <a:p>
              <a:pPr>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7536833802510438"/>
          <c:y val="0.15238095238095239"/>
          <c:w val="0.80045204194035335"/>
          <c:h val="0.67430221222347209"/>
        </c:manualLayout>
      </c:layout>
      <c:barChart>
        <c:barDir val="col"/>
        <c:grouping val="clustered"/>
        <c:varyColors val="0"/>
        <c:ser>
          <c:idx val="0"/>
          <c:order val="0"/>
          <c:tx>
            <c:strRef>
              <c:f>'pivot table1'!$K$11</c:f>
              <c:strCache>
                <c:ptCount val="1"/>
                <c:pt idx="0">
                  <c:v>Total</c:v>
                </c:pt>
              </c:strCache>
            </c:strRef>
          </c:tx>
          <c:spPr>
            <a:solidFill>
              <a:schemeClr val="tx2"/>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dLbls>
          <c:cat>
            <c:strRef>
              <c:f>'pivot table1'!$J$12:$J$16</c:f>
              <c:strCache>
                <c:ptCount val="4"/>
                <c:pt idx="0">
                  <c:v>Apr</c:v>
                </c:pt>
                <c:pt idx="1">
                  <c:v>Feb</c:v>
                </c:pt>
                <c:pt idx="2">
                  <c:v>Jan</c:v>
                </c:pt>
                <c:pt idx="3">
                  <c:v>Mar</c:v>
                </c:pt>
              </c:strCache>
            </c:strRef>
          </c:cat>
          <c:val>
            <c:numRef>
              <c:f>'pivot table1'!$K$12:$K$16</c:f>
              <c:numCache>
                <c:formatCode>General</c:formatCode>
                <c:ptCount val="4"/>
                <c:pt idx="0">
                  <c:v>68217.600000000006</c:v>
                </c:pt>
                <c:pt idx="1">
                  <c:v>2613787.25</c:v>
                </c:pt>
                <c:pt idx="2">
                  <c:v>2860493.8</c:v>
                </c:pt>
                <c:pt idx="3">
                  <c:v>1638065.4</c:v>
                </c:pt>
              </c:numCache>
            </c:numRef>
          </c:val>
          <c:extLst xmlns:c16r2="http://schemas.microsoft.com/office/drawing/2015/06/chart">
            <c:ext xmlns:c16="http://schemas.microsoft.com/office/drawing/2014/chart" uri="{C3380CC4-5D6E-409C-BE32-E72D297353CC}">
              <c16:uniqueId val="{00000000-914A-4D45-8010-EDFF61A855D3}"/>
            </c:ext>
          </c:extLst>
        </c:ser>
        <c:dLbls>
          <c:dLblPos val="outEnd"/>
          <c:showLegendKey val="0"/>
          <c:showVal val="1"/>
          <c:showCatName val="0"/>
          <c:showSerName val="0"/>
          <c:showPercent val="0"/>
          <c:showBubbleSize val="0"/>
        </c:dLbls>
        <c:gapWidth val="219"/>
        <c:overlap val="-27"/>
        <c:axId val="200660864"/>
        <c:axId val="200667904"/>
      </c:barChart>
      <c:catAx>
        <c:axId val="200660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0667904"/>
        <c:crosses val="autoZero"/>
        <c:auto val="1"/>
        <c:lblAlgn val="ctr"/>
        <c:lblOffset val="100"/>
        <c:noMultiLvlLbl val="0"/>
      </c:catAx>
      <c:valAx>
        <c:axId val="200667904"/>
        <c:scaling>
          <c:orientation val="minMax"/>
        </c:scaling>
        <c:delete val="1"/>
        <c:axPos val="l"/>
        <c:numFmt formatCode="General" sourceLinked="1"/>
        <c:majorTickMark val="out"/>
        <c:minorTickMark val="none"/>
        <c:tickLblPos val="nextTo"/>
        <c:crossAx val="2006608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table1!PivotTable11</c:name>
    <c:fmtId val="30"/>
  </c:pivotSource>
  <c:chart>
    <c:autoTitleDeleted val="1"/>
    <c:pivotFmts>
      <c:pivotFmt>
        <c:idx val="0"/>
        <c:spPr>
          <a:solidFill>
            <a:schemeClr val="accent2"/>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3.2537960954446846E-2"/>
              <c:y val="-9.8555443727428634E-3"/>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manualLayout>
                  <c:w val="0.1019522776572668"/>
                  <c:h val="0.10150375939849623"/>
                </c:manualLayout>
              </c15:layout>
            </c:ext>
          </c:extLst>
        </c:dLbl>
      </c:pivotFmt>
      <c:pivotFmt>
        <c:idx val="14"/>
        <c:spPr>
          <a:solidFill>
            <a:schemeClr val="accent4"/>
          </a:solidFill>
          <a:ln w="19050">
            <a:solidFill>
              <a:schemeClr val="lt1"/>
            </a:solidFill>
          </a:ln>
          <a:effectLst/>
        </c:spPr>
        <c:dLbl>
          <c:idx val="0"/>
          <c:layout>
            <c:manualLayout>
              <c:x val="6.5075921908893705E-2"/>
              <c:y val="2.7318098395595288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manualLayout>
                  <c:w val="7.9175704989154008E-2"/>
                  <c:h val="0.10714285714285714"/>
                </c:manualLayout>
              </c15:layout>
            </c:ext>
          </c:extLst>
        </c:dLbl>
      </c:pivotFmt>
      <c:pivotFmt>
        <c:idx val="15"/>
        <c:spPr>
          <a:solidFill>
            <a:schemeClr val="accent6"/>
          </a:solidFill>
          <a:ln w="19050">
            <a:solidFill>
              <a:schemeClr val="lt1"/>
            </a:solidFill>
          </a:ln>
          <a:effectLst/>
        </c:spPr>
        <c:dLbl>
          <c:idx val="0"/>
          <c:layout>
            <c:manualLayout>
              <c:x val="-3.2142722940543496E-2"/>
              <c:y val="-1.6348351192942989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6"/>
        <c:spPr>
          <a:solidFill>
            <a:schemeClr val="accent2">
              <a:lumMod val="60000"/>
            </a:schemeClr>
          </a:solidFill>
          <a:ln w="19050">
            <a:solidFill>
              <a:schemeClr val="lt1"/>
            </a:solidFill>
          </a:ln>
          <a:effectLst/>
        </c:spPr>
      </c:pivotFmt>
      <c:pivotFmt>
        <c:idx val="17"/>
        <c:spPr>
          <a:solidFill>
            <a:schemeClr val="accent4">
              <a:lumMod val="60000"/>
            </a:schemeClr>
          </a:solidFill>
          <a:ln w="19050">
            <a:solidFill>
              <a:schemeClr val="lt1"/>
            </a:solidFill>
          </a:ln>
          <a:effectLst/>
        </c:spPr>
      </c:pivotFmt>
      <c:pivotFmt>
        <c:idx val="18"/>
        <c:spPr>
          <a:solidFill>
            <a:schemeClr val="accent6">
              <a:lumMod val="60000"/>
            </a:schemeClr>
          </a:solidFill>
          <a:ln w="19050">
            <a:solidFill>
              <a:schemeClr val="lt1"/>
            </a:solidFill>
          </a:ln>
          <a:effectLst/>
        </c:spPr>
      </c:pivotFmt>
      <c:pivotFmt>
        <c:idx val="19"/>
        <c:spPr>
          <a:solidFill>
            <a:schemeClr val="accent2">
              <a:lumMod val="80000"/>
              <a:lumOff val="20000"/>
            </a:schemeClr>
          </a:solidFill>
          <a:ln w="19050">
            <a:solidFill>
              <a:schemeClr val="lt1"/>
            </a:solidFill>
          </a:ln>
          <a:effectLst/>
        </c:spPr>
        <c:dLbl>
          <c:idx val="0"/>
          <c:layout>
            <c:manualLayout>
              <c:x val="-8.2348882094727308E-2"/>
              <c:y val="-0.18884790716949856"/>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0"/>
        <c:spPr>
          <a:solidFill>
            <a:schemeClr val="accent4">
              <a:lumMod val="80000"/>
              <a:lumOff val="20000"/>
            </a:schemeClr>
          </a:solidFill>
          <a:ln w="19050">
            <a:solidFill>
              <a:schemeClr val="lt1"/>
            </a:solidFill>
          </a:ln>
          <a:effectLst/>
        </c:spPr>
        <c:dLbl>
          <c:idx val="0"/>
          <c:layout>
            <c:manualLayout>
              <c:x val="-1.9267426170427177E-2"/>
              <c:y val="1.0573086258954473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1"/>
        <c:spPr>
          <a:solidFill>
            <a:schemeClr val="accent6">
              <a:lumMod val="80000"/>
              <a:lumOff val="20000"/>
            </a:schemeClr>
          </a:solidFill>
          <a:ln w="19050">
            <a:solidFill>
              <a:schemeClr val="lt1"/>
            </a:solidFill>
          </a:ln>
          <a:effectLst/>
        </c:spPr>
        <c:dLbl>
          <c:idx val="0"/>
          <c:layout>
            <c:manualLayout>
              <c:x val="-6.8822313696688134E-2"/>
              <c:y val="5.4588242259191289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22"/>
        <c:spPr>
          <a:solidFill>
            <a:schemeClr val="accent2">
              <a:lumMod val="80000"/>
            </a:schemeClr>
          </a:solidFill>
          <a:ln w="19050">
            <a:solidFill>
              <a:schemeClr val="lt1"/>
            </a:solidFill>
          </a:ln>
          <a:effectLst/>
        </c:spPr>
      </c:pivotFmt>
    </c:pivotFmts>
    <c:plotArea>
      <c:layout>
        <c:manualLayout>
          <c:layoutTarget val="inner"/>
          <c:xMode val="edge"/>
          <c:yMode val="edge"/>
          <c:x val="0.14281933153817686"/>
          <c:y val="0.26328484981044037"/>
          <c:w val="0.48016360596740643"/>
          <c:h val="0.68578922426363376"/>
        </c:manualLayout>
      </c:layout>
      <c:pieChart>
        <c:varyColors val="1"/>
        <c:ser>
          <c:idx val="0"/>
          <c:order val="0"/>
          <c:tx>
            <c:strRef>
              <c:f>'pivot table1'!$H$10</c:f>
              <c:strCache>
                <c:ptCount val="1"/>
                <c:pt idx="0">
                  <c:v>Total</c:v>
                </c:pt>
              </c:strCache>
            </c:strRef>
          </c:tx>
          <c:dPt>
            <c:idx val="0"/>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1-93B8-4866-B8B1-7428AC39AC9D}"/>
              </c:ext>
            </c:extLst>
          </c:dPt>
          <c:dPt>
            <c:idx val="1"/>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3-93B8-4866-B8B1-7428AC39AC9D}"/>
              </c:ext>
            </c:extLst>
          </c:dPt>
          <c:dPt>
            <c:idx val="2"/>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5-93B8-4866-B8B1-7428AC39AC9D}"/>
              </c:ext>
            </c:extLst>
          </c:dPt>
          <c:dPt>
            <c:idx val="3"/>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7-93B8-4866-B8B1-7428AC39AC9D}"/>
              </c:ext>
            </c:extLst>
          </c:dPt>
          <c:dPt>
            <c:idx val="4"/>
            <c:bubble3D val="0"/>
            <c:spPr>
              <a:solidFill>
                <a:schemeClr val="accent4">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9-93B8-4866-B8B1-7428AC39AC9D}"/>
              </c:ext>
            </c:extLst>
          </c:dPt>
          <c:dPt>
            <c:idx val="5"/>
            <c:bubble3D val="0"/>
            <c:spPr>
              <a:solidFill>
                <a:schemeClr val="accent6">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B-93B8-4866-B8B1-7428AC39AC9D}"/>
              </c:ext>
            </c:extLst>
          </c:dPt>
          <c:dPt>
            <c:idx val="6"/>
            <c:bubble3D val="0"/>
            <c:spPr>
              <a:solidFill>
                <a:schemeClr val="accent2">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93B8-4866-B8B1-7428AC39AC9D}"/>
              </c:ext>
            </c:extLst>
          </c:dPt>
          <c:dPt>
            <c:idx val="7"/>
            <c:bubble3D val="0"/>
            <c:spPr>
              <a:solidFill>
                <a:schemeClr val="accent4">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93B8-4866-B8B1-7428AC39AC9D}"/>
              </c:ext>
            </c:extLst>
          </c:dPt>
          <c:dPt>
            <c:idx val="8"/>
            <c:bubble3D val="0"/>
            <c:spPr>
              <a:solidFill>
                <a:schemeClr val="accent6">
                  <a:lumMod val="80000"/>
                  <a:lumOff val="2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1-93B8-4866-B8B1-7428AC39AC9D}"/>
              </c:ext>
            </c:extLst>
          </c:dPt>
          <c:dPt>
            <c:idx val="9"/>
            <c:bubble3D val="0"/>
            <c:spPr>
              <a:solidFill>
                <a:schemeClr val="accent2">
                  <a:lumMod val="8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13-93B8-4866-B8B1-7428AC39AC9D}"/>
              </c:ext>
            </c:extLst>
          </c:dPt>
          <c:dLbls>
            <c:dLbl>
              <c:idx val="0"/>
              <c:layout>
                <c:manualLayout>
                  <c:x val="3.2537960954446846E-2"/>
                  <c:y val="-9.8555443727428634E-3"/>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manualLayout>
                      <c:w val="0.1019522776572668"/>
                      <c:h val="0.10150375939849623"/>
                    </c:manualLayout>
                  </c15:layout>
                </c:ext>
              </c:extLst>
            </c:dLbl>
            <c:dLbl>
              <c:idx val="1"/>
              <c:layout>
                <c:manualLayout>
                  <c:x val="6.5075921908893705E-2"/>
                  <c:y val="2.7318098395595288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manualLayout>
                      <c:w val="7.9175704989154008E-2"/>
                      <c:h val="0.10714285714285714"/>
                    </c:manualLayout>
                  </c15:layout>
                </c:ext>
              </c:extLst>
            </c:dLbl>
            <c:dLbl>
              <c:idx val="2"/>
              <c:layout>
                <c:manualLayout>
                  <c:x val="-3.2142722940543496E-2"/>
                  <c:y val="-1.6348351192942989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dLbl>
              <c:idx val="6"/>
              <c:layout>
                <c:manualLayout>
                  <c:x val="-8.2348882094727308E-2"/>
                  <c:y val="-0.18884790716949856"/>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dLbl>
              <c:idx val="7"/>
              <c:layout>
                <c:manualLayout>
                  <c:x val="-1.9267426170427177E-2"/>
                  <c:y val="1.0573086258954473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dLbl>
              <c:idx val="8"/>
              <c:layout>
                <c:manualLayout>
                  <c:x val="-6.8822313696688134E-2"/>
                  <c:y val="5.4588242259191289E-2"/>
                </c:manualLayout>
              </c:layout>
              <c:dLblPos val="bestFit"/>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dLbls>
          <c:cat>
            <c:strRef>
              <c:f>'pivot table1'!$G$11:$G$21</c:f>
              <c:strCache>
                <c:ptCount val="10"/>
                <c:pt idx="0">
                  <c:v>Bag</c:v>
                </c:pt>
                <c:pt idx="1">
                  <c:v>Headphones</c:v>
                </c:pt>
                <c:pt idx="2">
                  <c:v>Jeans</c:v>
                </c:pt>
                <c:pt idx="3">
                  <c:v>Laptop</c:v>
                </c:pt>
                <c:pt idx="4">
                  <c:v>Mobile</c:v>
                </c:pt>
                <c:pt idx="5">
                  <c:v>Perfume</c:v>
                </c:pt>
                <c:pt idx="6">
                  <c:v>Shampoo</c:v>
                </c:pt>
                <c:pt idx="7">
                  <c:v>Shoes</c:v>
                </c:pt>
                <c:pt idx="8">
                  <c:v>T-Shirt</c:v>
                </c:pt>
                <c:pt idx="9">
                  <c:v>Watch</c:v>
                </c:pt>
              </c:strCache>
            </c:strRef>
          </c:cat>
          <c:val>
            <c:numRef>
              <c:f>'pivot table1'!$H$11:$H$21</c:f>
              <c:numCache>
                <c:formatCode>General</c:formatCode>
                <c:ptCount val="10"/>
                <c:pt idx="0">
                  <c:v>550334.6</c:v>
                </c:pt>
                <c:pt idx="1">
                  <c:v>556103.35</c:v>
                </c:pt>
                <c:pt idx="2">
                  <c:v>755178</c:v>
                </c:pt>
                <c:pt idx="3">
                  <c:v>719324.4</c:v>
                </c:pt>
                <c:pt idx="4">
                  <c:v>929066.75</c:v>
                </c:pt>
                <c:pt idx="5">
                  <c:v>576193.69999999995</c:v>
                </c:pt>
                <c:pt idx="6">
                  <c:v>1008292.8</c:v>
                </c:pt>
                <c:pt idx="7">
                  <c:v>1239805.8999999999</c:v>
                </c:pt>
                <c:pt idx="8">
                  <c:v>603542.1</c:v>
                </c:pt>
                <c:pt idx="9">
                  <c:v>242722.45</c:v>
                </c:pt>
              </c:numCache>
            </c:numRef>
          </c:val>
          <c:extLst xmlns:c16r2="http://schemas.microsoft.com/office/drawing/2015/06/chart">
            <c:ext xmlns:c16="http://schemas.microsoft.com/office/drawing/2014/chart" uri="{C3380CC4-5D6E-409C-BE32-E72D297353CC}">
              <c16:uniqueId val="{00000014-93B8-4866-B8B1-7428AC39AC9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dashboard.xlsx]pivot table1!PivotTable12</c:name>
    <c:fmtId val="36"/>
  </c:pivotSource>
  <c:chart>
    <c:autoTitleDeleted val="1"/>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manualLayout>
          <c:layoutTarget val="inner"/>
          <c:xMode val="edge"/>
          <c:yMode val="edge"/>
          <c:x val="0.10085554209569958"/>
          <c:y val="7.1890032517266403E-2"/>
          <c:w val="0.69303035379765154"/>
          <c:h val="0.82939049285505984"/>
        </c:manualLayout>
      </c:layout>
      <c:doughnutChart>
        <c:varyColors val="1"/>
        <c:ser>
          <c:idx val="0"/>
          <c:order val="0"/>
          <c:tx>
            <c:strRef>
              <c:f>'pivot table1'!$E$7</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0E8-41A9-8AB7-A2A16281FE8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0E8-41A9-8AB7-A2A16281FE8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0E8-41A9-8AB7-A2A16281FE85}"/>
              </c:ext>
            </c:extLst>
          </c:dPt>
          <c:cat>
            <c:strRef>
              <c:f>'pivot table1'!$D$8:$D$11</c:f>
              <c:strCache>
                <c:ptCount val="3"/>
                <c:pt idx="0">
                  <c:v>Cancelled</c:v>
                </c:pt>
                <c:pt idx="1">
                  <c:v>Delivered</c:v>
                </c:pt>
                <c:pt idx="2">
                  <c:v>Returned</c:v>
                </c:pt>
              </c:strCache>
            </c:strRef>
          </c:cat>
          <c:val>
            <c:numRef>
              <c:f>'pivot table1'!$E$8:$E$11</c:f>
              <c:numCache>
                <c:formatCode>General</c:formatCode>
                <c:ptCount val="3"/>
                <c:pt idx="0">
                  <c:v>36</c:v>
                </c:pt>
                <c:pt idx="1">
                  <c:v>29</c:v>
                </c:pt>
                <c:pt idx="2">
                  <c:v>35</c:v>
                </c:pt>
              </c:numCache>
            </c:numRef>
          </c:val>
          <c:extLst xmlns:c16r2="http://schemas.microsoft.com/office/drawing/2015/06/chart">
            <c:ext xmlns:c16="http://schemas.microsoft.com/office/drawing/2014/chart" uri="{C3380CC4-5D6E-409C-BE32-E72D297353CC}">
              <c16:uniqueId val="{00000006-30E8-41A9-8AB7-A2A16281FE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vert="horz"/>
        <a:lstStyle/>
        <a:p>
          <a:pPr>
            <a:defRPr b="1">
              <a:solidFill>
                <a:schemeClr val="tx1"/>
              </a:solidFill>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dashboard.xlsx]pivot table1!PivotTable2</c:name>
    <c:fmtId val="55"/>
  </c:pivotSource>
  <c:chart>
    <c:autoTitleDeleted val="1"/>
    <c:pivotFmts>
      <c:pivotFmt>
        <c:idx val="0"/>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2"/>
          </a:solidFill>
          <a:ln>
            <a:noFill/>
          </a:ln>
          <a:effectLst/>
        </c:spPr>
        <c:marker>
          <c:symbol val="none"/>
        </c:marker>
      </c:pivotFmt>
    </c:pivotFmts>
    <c:plotArea>
      <c:layout>
        <c:manualLayout>
          <c:layoutTarget val="inner"/>
          <c:xMode val="edge"/>
          <c:yMode val="edge"/>
          <c:x val="0.19646809182259789"/>
          <c:y val="0.20236158227257167"/>
          <c:w val="0.57665026246719164"/>
          <c:h val="0.5057543501506756"/>
        </c:manualLayout>
      </c:layout>
      <c:barChart>
        <c:barDir val="bar"/>
        <c:grouping val="clustered"/>
        <c:varyColors val="0"/>
        <c:ser>
          <c:idx val="0"/>
          <c:order val="0"/>
          <c:tx>
            <c:strRef>
              <c:f>'pivot table1'!$N$4</c:f>
              <c:strCache>
                <c:ptCount val="1"/>
                <c:pt idx="0">
                  <c:v>Total</c:v>
                </c:pt>
              </c:strCache>
            </c:strRef>
          </c:tx>
          <c:spPr>
            <a:solidFill>
              <a:schemeClr val="tx2"/>
            </a:solidFill>
            <a:ln>
              <a:noFill/>
            </a:ln>
            <a:effectLst/>
          </c:spPr>
          <c:invertIfNegative val="0"/>
          <c:cat>
            <c:strRef>
              <c:f>'pivot table1'!$M$5:$M$9</c:f>
              <c:strCache>
                <c:ptCount val="4"/>
                <c:pt idx="0">
                  <c:v>East</c:v>
                </c:pt>
                <c:pt idx="1">
                  <c:v>North</c:v>
                </c:pt>
                <c:pt idx="2">
                  <c:v>South</c:v>
                </c:pt>
                <c:pt idx="3">
                  <c:v>West</c:v>
                </c:pt>
              </c:strCache>
            </c:strRef>
          </c:cat>
          <c:val>
            <c:numRef>
              <c:f>'pivot table1'!$N$5:$N$9</c:f>
              <c:numCache>
                <c:formatCode>General</c:formatCode>
                <c:ptCount val="4"/>
                <c:pt idx="0">
                  <c:v>2157522.35</c:v>
                </c:pt>
                <c:pt idx="1">
                  <c:v>1392309.25</c:v>
                </c:pt>
                <c:pt idx="2">
                  <c:v>1894033.55</c:v>
                </c:pt>
                <c:pt idx="3">
                  <c:v>1736698.9</c:v>
                </c:pt>
              </c:numCache>
            </c:numRef>
          </c:val>
          <c:extLst xmlns:c16r2="http://schemas.microsoft.com/office/drawing/2015/06/chart">
            <c:ext xmlns:c16="http://schemas.microsoft.com/office/drawing/2014/chart" uri="{C3380CC4-5D6E-409C-BE32-E72D297353CC}">
              <c16:uniqueId val="{00000000-D2AA-4B53-9A41-D80BFC6E44E9}"/>
            </c:ext>
          </c:extLst>
        </c:ser>
        <c:dLbls>
          <c:showLegendKey val="0"/>
          <c:showVal val="0"/>
          <c:showCatName val="0"/>
          <c:showSerName val="0"/>
          <c:showPercent val="0"/>
          <c:showBubbleSize val="0"/>
        </c:dLbls>
        <c:gapWidth val="182"/>
        <c:axId val="201998336"/>
        <c:axId val="201999872"/>
      </c:barChart>
      <c:catAx>
        <c:axId val="2019983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999872"/>
        <c:crosses val="autoZero"/>
        <c:auto val="1"/>
        <c:lblAlgn val="ctr"/>
        <c:lblOffset val="100"/>
        <c:noMultiLvlLbl val="0"/>
      </c:catAx>
      <c:valAx>
        <c:axId val="201999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9983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dashboard.xlsx]pivot table1!PivotTable3</c:name>
    <c:fmtId val="55"/>
  </c:pivotSource>
  <c:chart>
    <c:autoTitleDeleted val="1"/>
    <c:pivotFmts>
      <c:pivotFmt>
        <c:idx val="0"/>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tx2"/>
          </a:solidFill>
          <a:ln>
            <a:noFill/>
          </a:ln>
          <a:effectLst/>
        </c:spPr>
        <c:marker>
          <c:symbol val="none"/>
        </c:marker>
      </c:pivotFmt>
    </c:pivotFmts>
    <c:plotArea>
      <c:layout>
        <c:manualLayout>
          <c:layoutTarget val="inner"/>
          <c:xMode val="edge"/>
          <c:yMode val="edge"/>
          <c:x val="0.185581715003829"/>
          <c:y val="4.9232109260678697E-2"/>
          <c:w val="0.79993896695927358"/>
          <c:h val="0.8416746864975212"/>
        </c:manualLayout>
      </c:layout>
      <c:areaChart>
        <c:grouping val="standard"/>
        <c:varyColors val="0"/>
        <c:ser>
          <c:idx val="0"/>
          <c:order val="0"/>
          <c:tx>
            <c:strRef>
              <c:f>'pivot table1'!$E$16</c:f>
              <c:strCache>
                <c:ptCount val="1"/>
                <c:pt idx="0">
                  <c:v>Total</c:v>
                </c:pt>
              </c:strCache>
            </c:strRef>
          </c:tx>
          <c:spPr>
            <a:solidFill>
              <a:schemeClr val="tx2"/>
            </a:solidFill>
            <a:ln>
              <a:noFill/>
            </a:ln>
            <a:effectLst/>
          </c:spPr>
          <c:cat>
            <c:strRef>
              <c:f>'pivot table1'!$D$17:$D$21</c:f>
              <c:strCache>
                <c:ptCount val="4"/>
                <c:pt idx="0">
                  <c:v>East</c:v>
                </c:pt>
                <c:pt idx="1">
                  <c:v>North</c:v>
                </c:pt>
                <c:pt idx="2">
                  <c:v>South</c:v>
                </c:pt>
                <c:pt idx="3">
                  <c:v>West</c:v>
                </c:pt>
              </c:strCache>
            </c:strRef>
          </c:cat>
          <c:val>
            <c:numRef>
              <c:f>'pivot table1'!$E$17:$E$21</c:f>
              <c:numCache>
                <c:formatCode>General</c:formatCode>
                <c:ptCount val="4"/>
                <c:pt idx="0">
                  <c:v>685034</c:v>
                </c:pt>
                <c:pt idx="1">
                  <c:v>400185</c:v>
                </c:pt>
                <c:pt idx="2">
                  <c:v>570436</c:v>
                </c:pt>
                <c:pt idx="3">
                  <c:v>555894</c:v>
                </c:pt>
              </c:numCache>
            </c:numRef>
          </c:val>
          <c:extLst xmlns:c16r2="http://schemas.microsoft.com/office/drawing/2015/06/chart">
            <c:ext xmlns:c16="http://schemas.microsoft.com/office/drawing/2014/chart" uri="{C3380CC4-5D6E-409C-BE32-E72D297353CC}">
              <c16:uniqueId val="{00000000-7328-4BEE-952F-FC9D7E66ED32}"/>
            </c:ext>
          </c:extLst>
        </c:ser>
        <c:dLbls>
          <c:showLegendKey val="0"/>
          <c:showVal val="0"/>
          <c:showCatName val="0"/>
          <c:showSerName val="0"/>
          <c:showPercent val="0"/>
          <c:showBubbleSize val="0"/>
        </c:dLbls>
        <c:axId val="202055040"/>
        <c:axId val="202065024"/>
      </c:areaChart>
      <c:catAx>
        <c:axId val="20205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065024"/>
        <c:crosses val="autoZero"/>
        <c:auto val="1"/>
        <c:lblAlgn val="ctr"/>
        <c:lblOffset val="100"/>
        <c:noMultiLvlLbl val="0"/>
      </c:catAx>
      <c:valAx>
        <c:axId val="20206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055040"/>
        <c:crosses val="autoZero"/>
        <c:crossBetween val="midCat"/>
      </c:valAx>
      <c:spPr>
        <a:noFill/>
        <a:ln>
          <a:noFill/>
        </a:ln>
        <a:effectLst/>
      </c:spPr>
    </c:plotArea>
    <c:plotVisOnly val="1"/>
    <c:dispBlanksAs val="zero"/>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4"/>
    </mc:Choice>
    <mc:Fallback>
      <c:style val="4"/>
    </mc:Fallback>
  </mc:AlternateContent>
  <c:pivotSource>
    <c:name>[amazon sales dashboard.xlsx]pivot table1!PivotTable4</c:name>
    <c:fmtId val="66"/>
  </c:pivotSource>
  <c:chart>
    <c:autoTitleDeleted val="1"/>
    <c:pivotFmts>
      <c:pivotFmt>
        <c:idx val="0"/>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layout/>
          <c:spPr>
            <a:noFill/>
            <a:ln>
              <a:noFill/>
            </a:ln>
            <a:effectLst/>
          </c:spPr>
          <c:txPr>
            <a:bodyPr rot="0" vert="horz"/>
            <a:lstStyle/>
            <a:p>
              <a:pPr>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2963704490703243"/>
          <c:y val="9.5444685466377438E-2"/>
          <c:w val="0.78220872336447222"/>
          <c:h val="0.39893009035475774"/>
        </c:manualLayout>
      </c:layout>
      <c:lineChart>
        <c:grouping val="standard"/>
        <c:varyColors val="0"/>
        <c:ser>
          <c:idx val="0"/>
          <c:order val="0"/>
          <c:tx>
            <c:strRef>
              <c:f>'pivot table1'!$N$14</c:f>
              <c:strCache>
                <c:ptCount val="1"/>
                <c:pt idx="0">
                  <c:v>Total</c:v>
                </c:pt>
              </c:strCache>
            </c:strRef>
          </c:tx>
          <c:spPr>
            <a:ln w="28575" cap="rnd">
              <a:solidFill>
                <a:schemeClr val="accent2"/>
              </a:solidFill>
              <a:round/>
            </a:ln>
            <a:effectLst/>
          </c:spPr>
          <c:marker>
            <c:symbol val="none"/>
          </c:marker>
          <c:dLbls>
            <c:spPr>
              <a:noFill/>
              <a:ln>
                <a:noFill/>
              </a:ln>
              <a:effectLst/>
            </c:spPr>
            <c:txPr>
              <a:bodyPr rot="0" vert="horz"/>
              <a:lstStyle/>
              <a:p>
                <a:pPr>
                  <a:defRPr/>
                </a:pPr>
                <a:endParaRPr lang="en-US"/>
              </a:p>
            </c:txPr>
            <c:dLblPos val="t"/>
            <c:showLegendKey val="0"/>
            <c:showVal val="1"/>
            <c:showCatName val="0"/>
            <c:showSerName val="0"/>
            <c:showPercent val="0"/>
            <c:showBubbleSize val="0"/>
            <c:showLeaderLines val="0"/>
          </c:dLbls>
          <c:cat>
            <c:strRef>
              <c:f>'pivot table1'!$M$15:$M$25</c:f>
              <c:strCache>
                <c:ptCount val="10"/>
                <c:pt idx="0">
                  <c:v>Bag</c:v>
                </c:pt>
                <c:pt idx="1">
                  <c:v>Headphones</c:v>
                </c:pt>
                <c:pt idx="2">
                  <c:v>Jeans</c:v>
                </c:pt>
                <c:pt idx="3">
                  <c:v>Laptop</c:v>
                </c:pt>
                <c:pt idx="4">
                  <c:v>Mobile</c:v>
                </c:pt>
                <c:pt idx="5">
                  <c:v>Perfume</c:v>
                </c:pt>
                <c:pt idx="6">
                  <c:v>Shampoo</c:v>
                </c:pt>
                <c:pt idx="7">
                  <c:v>Shoes</c:v>
                </c:pt>
                <c:pt idx="8">
                  <c:v>T-Shirt</c:v>
                </c:pt>
                <c:pt idx="9">
                  <c:v>Watch</c:v>
                </c:pt>
              </c:strCache>
            </c:strRef>
          </c:cat>
          <c:val>
            <c:numRef>
              <c:f>'pivot table1'!$N$15:$N$25</c:f>
              <c:numCache>
                <c:formatCode>General</c:formatCode>
                <c:ptCount val="10"/>
                <c:pt idx="0">
                  <c:v>40</c:v>
                </c:pt>
                <c:pt idx="1">
                  <c:v>135</c:v>
                </c:pt>
                <c:pt idx="2">
                  <c:v>150</c:v>
                </c:pt>
                <c:pt idx="3">
                  <c:v>90</c:v>
                </c:pt>
                <c:pt idx="4">
                  <c:v>110</c:v>
                </c:pt>
                <c:pt idx="5">
                  <c:v>125</c:v>
                </c:pt>
                <c:pt idx="6">
                  <c:v>120</c:v>
                </c:pt>
                <c:pt idx="7">
                  <c:v>135</c:v>
                </c:pt>
                <c:pt idx="8">
                  <c:v>60</c:v>
                </c:pt>
                <c:pt idx="9">
                  <c:v>110</c:v>
                </c:pt>
              </c:numCache>
            </c:numRef>
          </c:val>
          <c:smooth val="0"/>
          <c:extLst xmlns:c16r2="http://schemas.microsoft.com/office/drawing/2015/06/chart">
            <c:ext xmlns:c16="http://schemas.microsoft.com/office/drawing/2014/chart" uri="{C3380CC4-5D6E-409C-BE32-E72D297353CC}">
              <c16:uniqueId val="{00000000-A867-4FC3-93F0-9A3111387995}"/>
            </c:ext>
          </c:extLst>
        </c:ser>
        <c:dLbls>
          <c:showLegendKey val="0"/>
          <c:showVal val="0"/>
          <c:showCatName val="0"/>
          <c:showSerName val="0"/>
          <c:showPercent val="0"/>
          <c:showBubbleSize val="0"/>
        </c:dLbls>
        <c:marker val="1"/>
        <c:smooth val="0"/>
        <c:axId val="202116480"/>
        <c:axId val="202134656"/>
      </c:lineChart>
      <c:catAx>
        <c:axId val="20211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2134656"/>
        <c:crosses val="autoZero"/>
        <c:auto val="1"/>
        <c:lblAlgn val="ctr"/>
        <c:lblOffset val="100"/>
        <c:noMultiLvlLbl val="0"/>
      </c:catAx>
      <c:valAx>
        <c:axId val="202134656"/>
        <c:scaling>
          <c:orientation val="minMax"/>
        </c:scaling>
        <c:delete val="0"/>
        <c:axPos val="l"/>
        <c:numFmt formatCode="General" sourceLinked="1"/>
        <c:majorTickMark val="out"/>
        <c:minorTickMark val="none"/>
        <c:tickLblPos val="nextTo"/>
        <c:spPr>
          <a:noFill/>
          <a:ln>
            <a:noFill/>
          </a:ln>
          <a:effectLst/>
        </c:spPr>
        <c:txPr>
          <a:bodyPr rot="-60000000" vert="horz"/>
          <a:lstStyle/>
          <a:p>
            <a:pPr>
              <a:defRPr/>
            </a:pPr>
            <a:endParaRPr lang="en-US"/>
          </a:p>
        </c:txPr>
        <c:crossAx val="2021164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svg"/><Relationship Id="rId10" Type="http://schemas.openxmlformats.org/officeDocument/2006/relationships/image" Target="../media/image3.png"/><Relationship Id="rId4" Type="http://schemas.openxmlformats.org/officeDocument/2006/relationships/image" Target="../media/image1.png"/><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266700</xdr:colOff>
      <xdr:row>48</xdr:row>
      <xdr:rowOff>69850</xdr:rowOff>
    </xdr:to>
    <xdr:sp macro="" textlink="">
      <xdr:nvSpPr>
        <xdr:cNvPr id="2" name="Rectangle 1">
          <a:extLst>
            <a:ext uri="{FF2B5EF4-FFF2-40B4-BE49-F238E27FC236}">
              <a16:creationId xmlns:a16="http://schemas.microsoft.com/office/drawing/2014/main" xmlns="" id="{10E9A756-CB1F-DD00-59EF-E083E04BEB2D}"/>
            </a:ext>
          </a:extLst>
        </xdr:cNvPr>
        <xdr:cNvSpPr/>
      </xdr:nvSpPr>
      <xdr:spPr>
        <a:xfrm>
          <a:off x="0" y="0"/>
          <a:ext cx="11849100" cy="890905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393700</xdr:colOff>
      <xdr:row>0</xdr:row>
      <xdr:rowOff>171450</xdr:rowOff>
    </xdr:from>
    <xdr:to>
      <xdr:col>13</xdr:col>
      <xdr:colOff>450850</xdr:colOff>
      <xdr:row>3</xdr:row>
      <xdr:rowOff>69850</xdr:rowOff>
    </xdr:to>
    <xdr:sp macro="" textlink="">
      <xdr:nvSpPr>
        <xdr:cNvPr id="4" name="TextBox 3">
          <a:extLst>
            <a:ext uri="{FF2B5EF4-FFF2-40B4-BE49-F238E27FC236}">
              <a16:creationId xmlns:a16="http://schemas.microsoft.com/office/drawing/2014/main" xmlns="" id="{F17710AF-9A29-209F-48D0-8BF71E64F96F}"/>
            </a:ext>
          </a:extLst>
        </xdr:cNvPr>
        <xdr:cNvSpPr txBox="1"/>
      </xdr:nvSpPr>
      <xdr:spPr>
        <a:xfrm>
          <a:off x="2832100" y="171450"/>
          <a:ext cx="5543550" cy="450850"/>
        </a:xfrm>
        <a:prstGeom prst="rect">
          <a:avLst/>
        </a:prstGeom>
        <a:solidFill>
          <a:schemeClr val="bg2"/>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r>
            <a:rPr lang="en-IN" sz="2400">
              <a:latin typeface="Times New Roman" panose="02020603050405020304" pitchFamily="18" charset="0"/>
              <a:cs typeface="Times New Roman" panose="02020603050405020304" pitchFamily="18" charset="0"/>
            </a:rPr>
            <a:t>A</a:t>
          </a:r>
          <a:r>
            <a:rPr lang="en-IN" sz="2400">
              <a:solidFill>
                <a:schemeClr val="tx1"/>
              </a:solidFill>
              <a:latin typeface="Times New Roman" panose="02020603050405020304" pitchFamily="18" charset="0"/>
              <a:cs typeface="Times New Roman" panose="02020603050405020304" pitchFamily="18" charset="0"/>
            </a:rPr>
            <a:t>MAZON SALES DASHBOARD</a:t>
          </a:r>
        </a:p>
      </xdr:txBody>
    </xdr:sp>
    <xdr:clientData/>
  </xdr:twoCellAnchor>
  <xdr:twoCellAnchor>
    <xdr:from>
      <xdr:col>2</xdr:col>
      <xdr:colOff>127000</xdr:colOff>
      <xdr:row>3</xdr:row>
      <xdr:rowOff>139700</xdr:rowOff>
    </xdr:from>
    <xdr:to>
      <xdr:col>18</xdr:col>
      <xdr:colOff>520700</xdr:colOff>
      <xdr:row>11</xdr:row>
      <xdr:rowOff>127000</xdr:rowOff>
    </xdr:to>
    <xdr:sp macro="" textlink="">
      <xdr:nvSpPr>
        <xdr:cNvPr id="9" name="Rectangle: Rounded Corners 8">
          <a:extLst>
            <a:ext uri="{FF2B5EF4-FFF2-40B4-BE49-F238E27FC236}">
              <a16:creationId xmlns:a16="http://schemas.microsoft.com/office/drawing/2014/main" xmlns="" id="{6C9CDEDE-D375-931B-6560-6E9CC9E4818C}"/>
            </a:ext>
          </a:extLst>
        </xdr:cNvPr>
        <xdr:cNvSpPr/>
      </xdr:nvSpPr>
      <xdr:spPr>
        <a:xfrm>
          <a:off x="1346200" y="692150"/>
          <a:ext cx="10147300" cy="14605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215900</xdr:colOff>
      <xdr:row>5</xdr:row>
      <xdr:rowOff>88900</xdr:rowOff>
    </xdr:from>
    <xdr:to>
      <xdr:col>6</xdr:col>
      <xdr:colOff>444500</xdr:colOff>
      <xdr:row>9</xdr:row>
      <xdr:rowOff>6350</xdr:rowOff>
    </xdr:to>
    <xdr:sp macro="" textlink="">
      <xdr:nvSpPr>
        <xdr:cNvPr id="10" name="TextBox 9">
          <a:extLst>
            <a:ext uri="{FF2B5EF4-FFF2-40B4-BE49-F238E27FC236}">
              <a16:creationId xmlns:a16="http://schemas.microsoft.com/office/drawing/2014/main" xmlns="" id="{76981C88-129C-7188-BFD9-30AB11F0F443}"/>
            </a:ext>
          </a:extLst>
        </xdr:cNvPr>
        <xdr:cNvSpPr txBox="1"/>
      </xdr:nvSpPr>
      <xdr:spPr>
        <a:xfrm>
          <a:off x="825500" y="1009650"/>
          <a:ext cx="3276600"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b="1">
              <a:latin typeface="Times New Roman" panose="02020603050405020304" pitchFamily="18" charset="0"/>
              <a:cs typeface="Times New Roman" panose="02020603050405020304" pitchFamily="18" charset="0"/>
            </a:rPr>
            <a:t> </a:t>
          </a:r>
        </a:p>
      </xdr:txBody>
    </xdr:sp>
    <xdr:clientData/>
  </xdr:twoCellAnchor>
  <xdr:twoCellAnchor>
    <xdr:from>
      <xdr:col>19</xdr:col>
      <xdr:colOff>309880</xdr:colOff>
      <xdr:row>5</xdr:row>
      <xdr:rowOff>69850</xdr:rowOff>
    </xdr:from>
    <xdr:to>
      <xdr:col>19</xdr:col>
      <xdr:colOff>355599</xdr:colOff>
      <xdr:row>7</xdr:row>
      <xdr:rowOff>152400</xdr:rowOff>
    </xdr:to>
    <xdr:sp macro="" textlink="">
      <xdr:nvSpPr>
        <xdr:cNvPr id="11" name="TextBox 10">
          <a:extLst>
            <a:ext uri="{FF2B5EF4-FFF2-40B4-BE49-F238E27FC236}">
              <a16:creationId xmlns:a16="http://schemas.microsoft.com/office/drawing/2014/main" xmlns="" id="{48BD782E-7F19-22E0-2D0B-ED30E0496100}"/>
            </a:ext>
          </a:extLst>
        </xdr:cNvPr>
        <xdr:cNvSpPr txBox="1"/>
      </xdr:nvSpPr>
      <xdr:spPr>
        <a:xfrm flipH="1">
          <a:off x="11892280" y="990600"/>
          <a:ext cx="45719" cy="45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273050</xdr:colOff>
      <xdr:row>4</xdr:row>
      <xdr:rowOff>6350</xdr:rowOff>
    </xdr:from>
    <xdr:to>
      <xdr:col>6</xdr:col>
      <xdr:colOff>577850</xdr:colOff>
      <xdr:row>5</xdr:row>
      <xdr:rowOff>82550</xdr:rowOff>
    </xdr:to>
    <xdr:sp macro="" textlink="">
      <xdr:nvSpPr>
        <xdr:cNvPr id="13" name="TextBox 12">
          <a:extLst>
            <a:ext uri="{FF2B5EF4-FFF2-40B4-BE49-F238E27FC236}">
              <a16:creationId xmlns:a16="http://schemas.microsoft.com/office/drawing/2014/main" xmlns="" id="{DCABA487-C24E-06B1-005A-7DB40F1B9CCB}"/>
            </a:ext>
          </a:extLst>
        </xdr:cNvPr>
        <xdr:cNvSpPr txBox="1"/>
      </xdr:nvSpPr>
      <xdr:spPr>
        <a:xfrm>
          <a:off x="1492250" y="742950"/>
          <a:ext cx="27432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latin typeface="Times New Roman" panose="02020603050405020304" pitchFamily="18" charset="0"/>
              <a:cs typeface="Times New Roman" panose="02020603050405020304" pitchFamily="18" charset="0"/>
            </a:rPr>
            <a:t>SALES BY CATEGORY</a:t>
          </a:r>
        </a:p>
      </xdr:txBody>
    </xdr:sp>
    <xdr:clientData/>
  </xdr:twoCellAnchor>
  <xdr:twoCellAnchor>
    <xdr:from>
      <xdr:col>7</xdr:col>
      <xdr:colOff>463550</xdr:colOff>
      <xdr:row>4</xdr:row>
      <xdr:rowOff>19050</xdr:rowOff>
    </xdr:from>
    <xdr:to>
      <xdr:col>12</xdr:col>
      <xdr:colOff>228600</xdr:colOff>
      <xdr:row>5</xdr:row>
      <xdr:rowOff>107949</xdr:rowOff>
    </xdr:to>
    <xdr:sp macro="" textlink="">
      <xdr:nvSpPr>
        <xdr:cNvPr id="16" name="TextBox 15">
          <a:extLst>
            <a:ext uri="{FF2B5EF4-FFF2-40B4-BE49-F238E27FC236}">
              <a16:creationId xmlns:a16="http://schemas.microsoft.com/office/drawing/2014/main" xmlns="" id="{1563A872-D07F-A33C-7CB0-E96E32F02575}"/>
            </a:ext>
          </a:extLst>
        </xdr:cNvPr>
        <xdr:cNvSpPr txBox="1"/>
      </xdr:nvSpPr>
      <xdr:spPr>
        <a:xfrm>
          <a:off x="4730750" y="755650"/>
          <a:ext cx="2813050" cy="273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100" b="1">
              <a:latin typeface="Times New Roman" panose="02020603050405020304" pitchFamily="18" charset="0"/>
              <a:cs typeface="Times New Roman" panose="02020603050405020304" pitchFamily="18" charset="0"/>
            </a:rPr>
            <a:t>ORDER STATUS</a:t>
          </a:r>
        </a:p>
      </xdr:txBody>
    </xdr:sp>
    <xdr:clientData/>
  </xdr:twoCellAnchor>
  <xdr:twoCellAnchor>
    <xdr:from>
      <xdr:col>12</xdr:col>
      <xdr:colOff>266700</xdr:colOff>
      <xdr:row>4</xdr:row>
      <xdr:rowOff>133350</xdr:rowOff>
    </xdr:from>
    <xdr:to>
      <xdr:col>17</xdr:col>
      <xdr:colOff>558800</xdr:colOff>
      <xdr:row>10</xdr:row>
      <xdr:rowOff>114300</xdr:rowOff>
    </xdr:to>
    <xdr:graphicFrame macro="">
      <xdr:nvGraphicFramePr>
        <xdr:cNvPr id="17" name="Chart 16">
          <a:extLst>
            <a:ext uri="{FF2B5EF4-FFF2-40B4-BE49-F238E27FC236}">
              <a16:creationId xmlns:a16="http://schemas.microsoft.com/office/drawing/2014/main" xmlns="" id="{370B8586-CC32-49CE-A9A5-8B5EA71E4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393700</xdr:colOff>
      <xdr:row>4</xdr:row>
      <xdr:rowOff>19050</xdr:rowOff>
    </xdr:from>
    <xdr:to>
      <xdr:col>18</xdr:col>
      <xdr:colOff>177800</xdr:colOff>
      <xdr:row>5</xdr:row>
      <xdr:rowOff>107950</xdr:rowOff>
    </xdr:to>
    <xdr:sp macro="" textlink="">
      <xdr:nvSpPr>
        <xdr:cNvPr id="18" name="TextBox 17">
          <a:extLst>
            <a:ext uri="{FF2B5EF4-FFF2-40B4-BE49-F238E27FC236}">
              <a16:creationId xmlns:a16="http://schemas.microsoft.com/office/drawing/2014/main" xmlns="" id="{EAA578C5-78BC-3993-AC35-F99274ED4194}"/>
            </a:ext>
          </a:extLst>
        </xdr:cNvPr>
        <xdr:cNvSpPr txBox="1"/>
      </xdr:nvSpPr>
      <xdr:spPr>
        <a:xfrm>
          <a:off x="7708900" y="755650"/>
          <a:ext cx="34417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latin typeface="Times New Roman" panose="02020603050405020304" pitchFamily="18" charset="0"/>
              <a:cs typeface="Times New Roman" panose="02020603050405020304" pitchFamily="18" charset="0"/>
            </a:rPr>
            <a:t>TOTAL </a:t>
          </a:r>
          <a:r>
            <a:rPr lang="en-IN" sz="1100" b="1">
              <a:solidFill>
                <a:schemeClr val="tx1"/>
              </a:solidFill>
              <a:latin typeface="Times New Roman" panose="02020603050405020304" pitchFamily="18" charset="0"/>
              <a:cs typeface="Times New Roman" panose="02020603050405020304" pitchFamily="18" charset="0"/>
            </a:rPr>
            <a:t>SALES</a:t>
          </a:r>
        </a:p>
      </xdr:txBody>
    </xdr:sp>
    <xdr:clientData/>
  </xdr:twoCellAnchor>
  <xdr:twoCellAnchor editAs="oneCell">
    <xdr:from>
      <xdr:col>0</xdr:col>
      <xdr:colOff>0</xdr:colOff>
      <xdr:row>0</xdr:row>
      <xdr:rowOff>0</xdr:rowOff>
    </xdr:from>
    <xdr:to>
      <xdr:col>1</xdr:col>
      <xdr:colOff>584200</xdr:colOff>
      <xdr:row>8</xdr:row>
      <xdr:rowOff>101600</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xmlns="" id="{D2F4E2A1-6CDF-0900-92BB-FE190AA5BE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19380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400050</xdr:colOff>
      <xdr:row>4</xdr:row>
      <xdr:rowOff>12700</xdr:rowOff>
    </xdr:from>
    <xdr:to>
      <xdr:col>8</xdr:col>
      <xdr:colOff>158750</xdr:colOff>
      <xdr:row>11</xdr:row>
      <xdr:rowOff>95250</xdr:rowOff>
    </xdr:to>
    <xdr:graphicFrame macro="">
      <xdr:nvGraphicFramePr>
        <xdr:cNvPr id="23" name="Chart 22">
          <a:extLst>
            <a:ext uri="{FF2B5EF4-FFF2-40B4-BE49-F238E27FC236}">
              <a16:creationId xmlns:a16="http://schemas.microsoft.com/office/drawing/2014/main" xmlns="" id="{0D6ED0C8-EA97-4300-A3B5-7D714E998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514350</xdr:colOff>
      <xdr:row>5</xdr:row>
      <xdr:rowOff>95250</xdr:rowOff>
    </xdr:from>
    <xdr:to>
      <xdr:col>12</xdr:col>
      <xdr:colOff>127000</xdr:colOff>
      <xdr:row>11</xdr:row>
      <xdr:rowOff>69850</xdr:rowOff>
    </xdr:to>
    <xdr:graphicFrame macro="">
      <xdr:nvGraphicFramePr>
        <xdr:cNvPr id="24" name="Chart 23">
          <a:extLst>
            <a:ext uri="{FF2B5EF4-FFF2-40B4-BE49-F238E27FC236}">
              <a16:creationId xmlns:a16="http://schemas.microsoft.com/office/drawing/2014/main" xmlns="" id="{693D6546-FF99-450C-8FC0-29BC999D8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120651</xdr:rowOff>
    </xdr:from>
    <xdr:to>
      <xdr:col>1</xdr:col>
      <xdr:colOff>590550</xdr:colOff>
      <xdr:row>16</xdr:row>
      <xdr:rowOff>82551</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xmlns="" id="{3EAABAFF-9369-FBC3-988F-982FE8648CF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409701"/>
              <a:ext cx="1200150" cy="1619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0</xdr:row>
      <xdr:rowOff>152400</xdr:rowOff>
    </xdr:from>
    <xdr:to>
      <xdr:col>5</xdr:col>
      <xdr:colOff>457200</xdr:colOff>
      <xdr:row>3</xdr:row>
      <xdr:rowOff>63500</xdr:rowOff>
    </xdr:to>
    <xdr:pic>
      <xdr:nvPicPr>
        <xdr:cNvPr id="12" name="Graphic 11" descr="Shopping bag with solid fill">
          <a:extLst>
            <a:ext uri="{FF2B5EF4-FFF2-40B4-BE49-F238E27FC236}">
              <a16:creationId xmlns:a16="http://schemas.microsoft.com/office/drawing/2014/main" xmlns="" id="{6BD3A21E-F3CC-74C0-E939-939F9CC9CF5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xmlns="" r:embed="rId5"/>
            </a:ext>
          </a:extLst>
        </a:blip>
        <a:stretch>
          <a:fillRect/>
        </a:stretch>
      </xdr:blipFill>
      <xdr:spPr>
        <a:xfrm>
          <a:off x="3048000" y="152400"/>
          <a:ext cx="457200" cy="463550"/>
        </a:xfrm>
        <a:prstGeom prst="rect">
          <a:avLst/>
        </a:prstGeom>
      </xdr:spPr>
    </xdr:pic>
    <xdr:clientData/>
  </xdr:twoCellAnchor>
  <xdr:twoCellAnchor>
    <xdr:from>
      <xdr:col>2</xdr:col>
      <xdr:colOff>298450</xdr:colOff>
      <xdr:row>13</xdr:row>
      <xdr:rowOff>57150</xdr:rowOff>
    </xdr:from>
    <xdr:to>
      <xdr:col>7</xdr:col>
      <xdr:colOff>101600</xdr:colOff>
      <xdr:row>24</xdr:row>
      <xdr:rowOff>6350</xdr:rowOff>
    </xdr:to>
    <xdr:graphicFrame macro="">
      <xdr:nvGraphicFramePr>
        <xdr:cNvPr id="15" name="Chart 14">
          <a:extLst>
            <a:ext uri="{FF2B5EF4-FFF2-40B4-BE49-F238E27FC236}">
              <a16:creationId xmlns:a16="http://schemas.microsoft.com/office/drawing/2014/main" xmlns="" id="{64DAF750-C981-4656-A04B-B8BC56514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444500</xdr:colOff>
      <xdr:row>12</xdr:row>
      <xdr:rowOff>146050</xdr:rowOff>
    </xdr:from>
    <xdr:to>
      <xdr:col>6</xdr:col>
      <xdr:colOff>82550</xdr:colOff>
      <xdr:row>14</xdr:row>
      <xdr:rowOff>63500</xdr:rowOff>
    </xdr:to>
    <xdr:sp macro="" textlink="">
      <xdr:nvSpPr>
        <xdr:cNvPr id="19" name="TextBox 18">
          <a:extLst>
            <a:ext uri="{FF2B5EF4-FFF2-40B4-BE49-F238E27FC236}">
              <a16:creationId xmlns:a16="http://schemas.microsoft.com/office/drawing/2014/main" xmlns="" id="{8995EB0A-5D0D-EE9B-AD90-32B56D0B26E7}"/>
            </a:ext>
          </a:extLst>
        </xdr:cNvPr>
        <xdr:cNvSpPr txBox="1"/>
      </xdr:nvSpPr>
      <xdr:spPr>
        <a:xfrm>
          <a:off x="1663700" y="2355850"/>
          <a:ext cx="2076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latin typeface="Times New Roman" panose="02020603050405020304" pitchFamily="18" charset="0"/>
              <a:cs typeface="Times New Roman" panose="02020603050405020304" pitchFamily="18" charset="0"/>
            </a:rPr>
            <a:t>REGION</a:t>
          </a:r>
          <a:r>
            <a:rPr lang="en-IN" sz="1100" b="1" baseline="0">
              <a:latin typeface="Times New Roman" panose="02020603050405020304" pitchFamily="18" charset="0"/>
              <a:cs typeface="Times New Roman" panose="02020603050405020304" pitchFamily="18" charset="0"/>
            </a:rPr>
            <a:t> WISE SALES</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2</xdr:col>
      <xdr:colOff>120650</xdr:colOff>
      <xdr:row>12</xdr:row>
      <xdr:rowOff>95250</xdr:rowOff>
    </xdr:from>
    <xdr:to>
      <xdr:col>7</xdr:col>
      <xdr:colOff>50800</xdr:colOff>
      <xdr:row>23</xdr:row>
      <xdr:rowOff>177800</xdr:rowOff>
    </xdr:to>
    <xdr:sp macro="" textlink="">
      <xdr:nvSpPr>
        <xdr:cNvPr id="20" name="Rectangle: Rounded Corners 19">
          <a:extLst>
            <a:ext uri="{FF2B5EF4-FFF2-40B4-BE49-F238E27FC236}">
              <a16:creationId xmlns:a16="http://schemas.microsoft.com/office/drawing/2014/main" xmlns="" id="{63CF421C-FFCA-D58A-5366-6F10977316EA}"/>
            </a:ext>
          </a:extLst>
        </xdr:cNvPr>
        <xdr:cNvSpPr/>
      </xdr:nvSpPr>
      <xdr:spPr>
        <a:xfrm>
          <a:off x="1339850" y="2305050"/>
          <a:ext cx="2978150" cy="21082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400050</xdr:colOff>
      <xdr:row>14</xdr:row>
      <xdr:rowOff>0</xdr:rowOff>
    </xdr:from>
    <xdr:to>
      <xdr:col>11</xdr:col>
      <xdr:colOff>508000</xdr:colOff>
      <xdr:row>23</xdr:row>
      <xdr:rowOff>76200</xdr:rowOff>
    </xdr:to>
    <xdr:graphicFrame macro="">
      <xdr:nvGraphicFramePr>
        <xdr:cNvPr id="25" name="Chart 24">
          <a:extLst>
            <a:ext uri="{FF2B5EF4-FFF2-40B4-BE49-F238E27FC236}">
              <a16:creationId xmlns:a16="http://schemas.microsoft.com/office/drawing/2014/main" xmlns="" id="{119BEABF-0A64-4A5B-80D3-53256003D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266700</xdr:colOff>
      <xdr:row>12</xdr:row>
      <xdr:rowOff>95250</xdr:rowOff>
    </xdr:from>
    <xdr:to>
      <xdr:col>12</xdr:col>
      <xdr:colOff>31750</xdr:colOff>
      <xdr:row>23</xdr:row>
      <xdr:rowOff>171450</xdr:rowOff>
    </xdr:to>
    <xdr:sp macro="" textlink="">
      <xdr:nvSpPr>
        <xdr:cNvPr id="28" name="Rectangle: Rounded Corners 27">
          <a:extLst>
            <a:ext uri="{FF2B5EF4-FFF2-40B4-BE49-F238E27FC236}">
              <a16:creationId xmlns:a16="http://schemas.microsoft.com/office/drawing/2014/main" xmlns="" id="{560249B2-105D-B87A-1161-66D71A438E0A}"/>
            </a:ext>
          </a:extLst>
        </xdr:cNvPr>
        <xdr:cNvSpPr/>
      </xdr:nvSpPr>
      <xdr:spPr>
        <a:xfrm>
          <a:off x="4533900" y="2305050"/>
          <a:ext cx="2813050" cy="21018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495300</xdr:colOff>
      <xdr:row>12</xdr:row>
      <xdr:rowOff>152400</xdr:rowOff>
    </xdr:from>
    <xdr:to>
      <xdr:col>11</xdr:col>
      <xdr:colOff>412750</xdr:colOff>
      <xdr:row>14</xdr:row>
      <xdr:rowOff>0</xdr:rowOff>
    </xdr:to>
    <xdr:sp macro="" textlink="">
      <xdr:nvSpPr>
        <xdr:cNvPr id="29" name="TextBox 28">
          <a:extLst>
            <a:ext uri="{FF2B5EF4-FFF2-40B4-BE49-F238E27FC236}">
              <a16:creationId xmlns:a16="http://schemas.microsoft.com/office/drawing/2014/main" xmlns="" id="{2C1131B4-E361-247A-9623-5FCEEEAA188D}"/>
            </a:ext>
          </a:extLst>
        </xdr:cNvPr>
        <xdr:cNvSpPr txBox="1"/>
      </xdr:nvSpPr>
      <xdr:spPr>
        <a:xfrm>
          <a:off x="4762500" y="2362200"/>
          <a:ext cx="2355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latin typeface="Times New Roman" panose="02020603050405020304" pitchFamily="18" charset="0"/>
              <a:cs typeface="Times New Roman" panose="02020603050405020304" pitchFamily="18" charset="0"/>
            </a:rPr>
            <a:t>TOTAL PROFIT BY REGION</a:t>
          </a:r>
        </a:p>
      </xdr:txBody>
    </xdr:sp>
    <xdr:clientData/>
  </xdr:twoCellAnchor>
  <xdr:twoCellAnchor>
    <xdr:from>
      <xdr:col>12</xdr:col>
      <xdr:colOff>215900</xdr:colOff>
      <xdr:row>12</xdr:row>
      <xdr:rowOff>127000</xdr:rowOff>
    </xdr:from>
    <xdr:to>
      <xdr:col>16</xdr:col>
      <xdr:colOff>558800</xdr:colOff>
      <xdr:row>24</xdr:row>
      <xdr:rowOff>0</xdr:rowOff>
    </xdr:to>
    <xdr:sp macro="" textlink="">
      <xdr:nvSpPr>
        <xdr:cNvPr id="30" name="Rectangle: Rounded Corners 29">
          <a:extLst>
            <a:ext uri="{FF2B5EF4-FFF2-40B4-BE49-F238E27FC236}">
              <a16:creationId xmlns:a16="http://schemas.microsoft.com/office/drawing/2014/main" xmlns="" id="{2D641384-9EC5-F544-F636-19D2CB13C4C8}"/>
            </a:ext>
          </a:extLst>
        </xdr:cNvPr>
        <xdr:cNvSpPr/>
      </xdr:nvSpPr>
      <xdr:spPr>
        <a:xfrm>
          <a:off x="7531100" y="2336800"/>
          <a:ext cx="2781300" cy="20828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215901</xdr:colOff>
      <xdr:row>15</xdr:row>
      <xdr:rowOff>38100</xdr:rowOff>
    </xdr:from>
    <xdr:to>
      <xdr:col>16</xdr:col>
      <xdr:colOff>508001</xdr:colOff>
      <xdr:row>23</xdr:row>
      <xdr:rowOff>69850</xdr:rowOff>
    </xdr:to>
    <xdr:graphicFrame macro="">
      <xdr:nvGraphicFramePr>
        <xdr:cNvPr id="31" name="Chart 30">
          <a:extLst>
            <a:ext uri="{FF2B5EF4-FFF2-40B4-BE49-F238E27FC236}">
              <a16:creationId xmlns:a16="http://schemas.microsoft.com/office/drawing/2014/main" xmlns="" id="{C1DDC08A-D26A-49DD-82D2-3DA81D47D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215900</xdr:colOff>
      <xdr:row>13</xdr:row>
      <xdr:rowOff>0</xdr:rowOff>
    </xdr:from>
    <xdr:to>
      <xdr:col>17</xdr:col>
      <xdr:colOff>50800</xdr:colOff>
      <xdr:row>15</xdr:row>
      <xdr:rowOff>25400</xdr:rowOff>
    </xdr:to>
    <xdr:sp macro="" textlink="">
      <xdr:nvSpPr>
        <xdr:cNvPr id="32" name="TextBox 31">
          <a:extLst>
            <a:ext uri="{FF2B5EF4-FFF2-40B4-BE49-F238E27FC236}">
              <a16:creationId xmlns:a16="http://schemas.microsoft.com/office/drawing/2014/main" xmlns="" id="{2ECC48F0-88D4-5332-0810-282E744F1900}"/>
            </a:ext>
          </a:extLst>
        </xdr:cNvPr>
        <xdr:cNvSpPr txBox="1"/>
      </xdr:nvSpPr>
      <xdr:spPr>
        <a:xfrm>
          <a:off x="7531100" y="2393950"/>
          <a:ext cx="28829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latin typeface="Times New Roman" panose="02020603050405020304" pitchFamily="18" charset="0"/>
              <a:cs typeface="Times New Roman" panose="02020603050405020304" pitchFamily="18" charset="0"/>
            </a:rPr>
            <a:t>PRODUCT WISE DISCOUNT PERCENTAGE</a:t>
          </a:r>
        </a:p>
      </xdr:txBody>
    </xdr:sp>
    <xdr:clientData/>
  </xdr:twoCellAnchor>
  <xdr:twoCellAnchor editAs="oneCell">
    <xdr:from>
      <xdr:col>2</xdr:col>
      <xdr:colOff>196849</xdr:colOff>
      <xdr:row>1</xdr:row>
      <xdr:rowOff>19051</xdr:rowOff>
    </xdr:from>
    <xdr:to>
      <xdr:col>4</xdr:col>
      <xdr:colOff>292100</xdr:colOff>
      <xdr:row>3</xdr:row>
      <xdr:rowOff>69851</xdr:rowOff>
    </xdr:to>
    <xdr:pic>
      <xdr:nvPicPr>
        <xdr:cNvPr id="38" name="Picture 37">
          <a:extLst>
            <a:ext uri="{FF2B5EF4-FFF2-40B4-BE49-F238E27FC236}">
              <a16:creationId xmlns:a16="http://schemas.microsoft.com/office/drawing/2014/main" xmlns="" id="{21F28D08-B851-A9CE-4CF7-9B13A0F9AB8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16049" y="203201"/>
          <a:ext cx="1314451" cy="419100"/>
        </a:xfrm>
        <a:prstGeom prst="rect">
          <a:avLst/>
        </a:prstGeom>
      </xdr:spPr>
    </xdr:pic>
    <xdr:clientData/>
  </xdr:twoCellAnchor>
  <xdr:twoCellAnchor editAs="oneCell">
    <xdr:from>
      <xdr:col>0</xdr:col>
      <xdr:colOff>0</xdr:colOff>
      <xdr:row>16</xdr:row>
      <xdr:rowOff>76201</xdr:rowOff>
    </xdr:from>
    <xdr:to>
      <xdr:col>1</xdr:col>
      <xdr:colOff>584200</xdr:colOff>
      <xdr:row>26</xdr:row>
      <xdr:rowOff>12701</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xmlns="" id="{6FA07F5F-AA3A-C580-5106-396FA5DAED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3022601"/>
              <a:ext cx="1193800" cy="177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339090</xdr:colOff>
      <xdr:row>15</xdr:row>
      <xdr:rowOff>5080</xdr:rowOff>
    </xdr:from>
    <xdr:to>
      <xdr:col>18</xdr:col>
      <xdr:colOff>438150</xdr:colOff>
      <xdr:row>16</xdr:row>
      <xdr:rowOff>146050</xdr:rowOff>
    </xdr:to>
    <xdr:sp macro="" textlink="'pivot table1'!D23">
      <xdr:nvSpPr>
        <xdr:cNvPr id="42" name="TextBox 41">
          <a:extLst>
            <a:ext uri="{FF2B5EF4-FFF2-40B4-BE49-F238E27FC236}">
              <a16:creationId xmlns:a16="http://schemas.microsoft.com/office/drawing/2014/main" xmlns="" id="{F80944F0-C00C-CD27-2079-C61231CA69F0}"/>
            </a:ext>
          </a:extLst>
        </xdr:cNvPr>
        <xdr:cNvSpPr txBox="1"/>
      </xdr:nvSpPr>
      <xdr:spPr>
        <a:xfrm>
          <a:off x="10702290" y="2767330"/>
          <a:ext cx="708660" cy="32512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C34942-7FFF-4463-A3B8-353359211D3E}" type="TxLink">
            <a:rPr lang="en-IN" sz="900" b="1"/>
            <a:pPr/>
            <a:t>2211549</a:t>
          </a:fld>
          <a:endParaRPr lang="en-IN" sz="900" b="1"/>
        </a:p>
      </xdr:txBody>
    </xdr:sp>
    <xdr:clientData/>
  </xdr:twoCellAnchor>
  <xdr:twoCellAnchor>
    <xdr:from>
      <xdr:col>17</xdr:col>
      <xdr:colOff>45720</xdr:colOff>
      <xdr:row>13</xdr:row>
      <xdr:rowOff>45720</xdr:rowOff>
    </xdr:from>
    <xdr:to>
      <xdr:col>19</xdr:col>
      <xdr:colOff>297180</xdr:colOff>
      <xdr:row>14</xdr:row>
      <xdr:rowOff>53340</xdr:rowOff>
    </xdr:to>
    <xdr:sp macro="" textlink="">
      <xdr:nvSpPr>
        <xdr:cNvPr id="3" name="TextBox 2"/>
        <xdr:cNvSpPr txBox="1"/>
      </xdr:nvSpPr>
      <xdr:spPr>
        <a:xfrm>
          <a:off x="10408920" y="2423160"/>
          <a:ext cx="14706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itchFamily="18" charset="0"/>
              <a:cs typeface="Times New Roman" pitchFamily="18" charset="0"/>
            </a:rPr>
            <a:t> TOTAL PROFIT</a:t>
          </a:r>
        </a:p>
      </xdr:txBody>
    </xdr:sp>
    <xdr:clientData/>
  </xdr:twoCellAnchor>
  <xdr:twoCellAnchor>
    <xdr:from>
      <xdr:col>17</xdr:col>
      <xdr:colOff>127000</xdr:colOff>
      <xdr:row>19</xdr:row>
      <xdr:rowOff>57150</xdr:rowOff>
    </xdr:from>
    <xdr:to>
      <xdr:col>19</xdr:col>
      <xdr:colOff>50800</xdr:colOff>
      <xdr:row>24</xdr:row>
      <xdr:rowOff>0</xdr:rowOff>
    </xdr:to>
    <xdr:sp macro="" textlink="">
      <xdr:nvSpPr>
        <xdr:cNvPr id="5" name="Rectangle 4"/>
        <xdr:cNvSpPr/>
      </xdr:nvSpPr>
      <xdr:spPr>
        <a:xfrm>
          <a:off x="10490200" y="3556000"/>
          <a:ext cx="1143000" cy="8636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146050</xdr:colOff>
      <xdr:row>13</xdr:row>
      <xdr:rowOff>38100</xdr:rowOff>
    </xdr:from>
    <xdr:to>
      <xdr:col>19</xdr:col>
      <xdr:colOff>57150</xdr:colOff>
      <xdr:row>17</xdr:row>
      <xdr:rowOff>127000</xdr:rowOff>
    </xdr:to>
    <xdr:sp macro="" textlink="">
      <xdr:nvSpPr>
        <xdr:cNvPr id="6" name="Rectangle 5"/>
        <xdr:cNvSpPr/>
      </xdr:nvSpPr>
      <xdr:spPr>
        <a:xfrm>
          <a:off x="10509250" y="2432050"/>
          <a:ext cx="1130300" cy="8255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82550</xdr:colOff>
      <xdr:row>19</xdr:row>
      <xdr:rowOff>69850</xdr:rowOff>
    </xdr:from>
    <xdr:to>
      <xdr:col>19</xdr:col>
      <xdr:colOff>234950</xdr:colOff>
      <xdr:row>21</xdr:row>
      <xdr:rowOff>19050</xdr:rowOff>
    </xdr:to>
    <xdr:sp macro="" textlink="">
      <xdr:nvSpPr>
        <xdr:cNvPr id="7" name="TextBox 6"/>
        <xdr:cNvSpPr txBox="1"/>
      </xdr:nvSpPr>
      <xdr:spPr>
        <a:xfrm>
          <a:off x="10445750" y="3568700"/>
          <a:ext cx="13716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itchFamily="18" charset="0"/>
              <a:cs typeface="Times New Roman" pitchFamily="18" charset="0"/>
            </a:rPr>
            <a:t>TOTAL</a:t>
          </a:r>
          <a:r>
            <a:rPr lang="en-IN" sz="1100" b="1" baseline="0">
              <a:latin typeface="Times New Roman" pitchFamily="18" charset="0"/>
              <a:cs typeface="Times New Roman" pitchFamily="18" charset="0"/>
            </a:rPr>
            <a:t> SALES</a:t>
          </a:r>
          <a:endParaRPr lang="en-IN" sz="1100" b="1">
            <a:latin typeface="Times New Roman" pitchFamily="18" charset="0"/>
            <a:cs typeface="Times New Roman" pitchFamily="18" charset="0"/>
          </a:endParaRPr>
        </a:p>
      </xdr:txBody>
    </xdr:sp>
    <xdr:clientData/>
  </xdr:twoCellAnchor>
  <xdr:twoCellAnchor>
    <xdr:from>
      <xdr:col>17</xdr:col>
      <xdr:colOff>266700</xdr:colOff>
      <xdr:row>21</xdr:row>
      <xdr:rowOff>6350</xdr:rowOff>
    </xdr:from>
    <xdr:to>
      <xdr:col>18</xdr:col>
      <xdr:colOff>482600</xdr:colOff>
      <xdr:row>22</xdr:row>
      <xdr:rowOff>120650</xdr:rowOff>
    </xdr:to>
    <xdr:sp macro="" textlink="'pivot table1'!K18">
      <xdr:nvSpPr>
        <xdr:cNvPr id="8" name="TextBox 7"/>
        <xdr:cNvSpPr txBox="1"/>
      </xdr:nvSpPr>
      <xdr:spPr>
        <a:xfrm>
          <a:off x="10629900" y="3873500"/>
          <a:ext cx="825500" cy="298450"/>
        </a:xfrm>
        <a:prstGeom prst="rect">
          <a:avLst/>
        </a:prstGeom>
        <a:no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9CB331-6EF4-4E45-BC55-ADA5364E4DF3}" type="TxLink">
            <a:rPr lang="en-IN" sz="900" b="1"/>
            <a:pPr/>
            <a:t>7180564.05</a:t>
          </a:fld>
          <a:endParaRPr lang="en-IN" sz="900" b="1"/>
        </a:p>
      </xdr:txBody>
    </xdr:sp>
    <xdr:clientData/>
  </xdr:twoCellAnchor>
  <xdr:twoCellAnchor editAs="oneCell">
    <xdr:from>
      <xdr:col>13</xdr:col>
      <xdr:colOff>584200</xdr:colOff>
      <xdr:row>0</xdr:row>
      <xdr:rowOff>88900</xdr:rowOff>
    </xdr:from>
    <xdr:to>
      <xdr:col>14</xdr:col>
      <xdr:colOff>577850</xdr:colOff>
      <xdr:row>3</xdr:row>
      <xdr:rowOff>82550</xdr:rowOff>
    </xdr:to>
    <xdr:pic>
      <xdr:nvPicPr>
        <xdr:cNvPr id="14" name="Picture 13"/>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509000" y="88900"/>
          <a:ext cx="603250" cy="5461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0.08463</cdr:x>
      <cdr:y>0.02767</cdr:y>
    </cdr:from>
    <cdr:to>
      <cdr:x>0.97996</cdr:x>
      <cdr:y>0.11462</cdr:y>
    </cdr:to>
    <cdr:sp macro="" textlink="">
      <cdr:nvSpPr>
        <cdr:cNvPr id="2" name="TextBox 1">
          <a:extLst xmlns:a="http://schemas.openxmlformats.org/drawingml/2006/main">
            <a:ext uri="{FF2B5EF4-FFF2-40B4-BE49-F238E27FC236}">
              <a16:creationId xmlns:a16="http://schemas.microsoft.com/office/drawing/2014/main" xmlns="" id="{BDFA2CD3-0416-E28E-5614-ED60EA5FF54D}"/>
            </a:ext>
          </a:extLst>
        </cdr:cNvPr>
        <cdr:cNvSpPr txBox="1"/>
      </cdr:nvSpPr>
      <cdr:spPr>
        <a:xfrm xmlns:a="http://schemas.openxmlformats.org/drawingml/2006/main">
          <a:off x="241300" y="44450"/>
          <a:ext cx="2552700" cy="139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ndhya Menon" refreshedDate="46116.564859953702" createdVersion="8" refreshedVersion="8" minRefreshableVersion="3" recordCount="100">
  <cacheSource type="worksheet">
    <worksheetSource name="Table1"/>
  </cacheSource>
  <cacheFields count="14">
    <cacheField name="Order ID" numFmtId="0">
      <sharedItems/>
    </cacheField>
    <cacheField name="Order Date" numFmtId="0">
      <sharedItems/>
    </cacheField>
    <cacheField name="Product Name" numFmtId="0">
      <sharedItems count="10">
        <s v="Jeans"/>
        <s v="Shoes"/>
        <s v="Shampoo"/>
        <s v="Headphones"/>
        <s v="Laptop"/>
        <s v="Watch"/>
        <s v="Mobile"/>
        <s v="Bag"/>
        <s v="T-Shirt"/>
        <s v="Perfume"/>
      </sharedItems>
    </cacheField>
    <cacheField name="Category" numFmtId="0">
      <sharedItems/>
    </cacheField>
    <cacheField name="Subcategory" numFmtId="0">
      <sharedItems/>
    </cacheField>
    <cacheField name="Region" numFmtId="0">
      <sharedItems/>
    </cacheField>
    <cacheField name="Quantity" numFmtId="0">
      <sharedItems containsSemiMixedTypes="0" containsString="0" containsNumber="1" containsInteger="1" minValue="1" maxValue="5"/>
    </cacheField>
    <cacheField name="Selling Price" numFmtId="0">
      <sharedItems containsSemiMixedTypes="0" containsString="0" containsNumber="1" containsInteger="1" minValue="517" maxValue="49788"/>
    </cacheField>
    <cacheField name="Cost Price" numFmtId="0">
      <sharedItems containsSemiMixedTypes="0" containsString="0" containsNumber="1" containsInteger="1" minValue="372" maxValue="41324"/>
    </cacheField>
    <cacheField name="Discount (%)" numFmtId="0">
      <sharedItems containsSemiMixedTypes="0" containsString="0" containsNumber="1" containsInteger="1" minValue="0" maxValue="20"/>
    </cacheField>
    <cacheField name="Total Sales" numFmtId="0">
      <sharedItems containsSemiMixedTypes="0" containsString="0" containsNumber="1" minValue="517" maxValue="220347"/>
    </cacheField>
    <cacheField name="Profit" numFmtId="0">
      <sharedItems containsSemiMixedTypes="0" containsString="0" containsNumber="1" containsInteger="1" minValue="145" maxValue="89665" count="100">
        <n v="6944"/>
        <n v="4397"/>
        <n v="32464"/>
        <n v="17910"/>
        <n v="35340"/>
        <n v="12462"/>
        <n v="4590"/>
        <n v="44540"/>
        <n v="21915"/>
        <n v="11509"/>
        <n v="9204"/>
        <n v="13696"/>
        <n v="89665"/>
        <n v="69324"/>
        <n v="14164"/>
        <n v="41824"/>
        <n v="33258"/>
        <n v="3021"/>
        <n v="36540"/>
        <n v="22512"/>
        <n v="24980"/>
        <n v="2404"/>
        <n v="23787"/>
        <n v="608"/>
        <n v="42880"/>
        <n v="16772"/>
        <n v="17965"/>
        <n v="5164"/>
        <n v="3258"/>
        <n v="26739"/>
        <n v="21327"/>
        <n v="23696"/>
        <n v="34808"/>
        <n v="14982"/>
        <n v="29764"/>
        <n v="26360"/>
        <n v="67056"/>
        <n v="26424"/>
        <n v="15420"/>
        <n v="30284"/>
        <n v="9870"/>
        <n v="60460"/>
        <n v="8278"/>
        <n v="724"/>
        <n v="55828"/>
        <n v="4320"/>
        <n v="23080"/>
        <n v="17016"/>
        <n v="7795"/>
        <n v="20170"/>
        <n v="1488"/>
        <n v="27732"/>
        <n v="4182"/>
        <n v="30655"/>
        <n v="7797"/>
        <n v="6440"/>
        <n v="75900"/>
        <n v="7938"/>
        <n v="27384"/>
        <n v="6014"/>
        <n v="6921"/>
        <n v="51864"/>
        <n v="5380"/>
        <n v="10434"/>
        <n v="4344"/>
        <n v="21470"/>
        <n v="31955"/>
        <n v="24188"/>
        <n v="6050"/>
        <n v="1408"/>
        <n v="1480"/>
        <n v="4242"/>
        <n v="30266"/>
        <n v="145"/>
        <n v="14411"/>
        <n v="25545"/>
        <n v="48235"/>
        <n v="14709"/>
        <n v="14280"/>
        <n v="12417"/>
        <n v="15040"/>
        <n v="20120"/>
        <n v="41465"/>
        <n v="16928"/>
        <n v="37812"/>
        <n v="53772"/>
        <n v="1578"/>
        <n v="19635"/>
        <n v="6423"/>
        <n v="4327"/>
        <n v="53505"/>
        <n v="38592"/>
        <n v="13392"/>
        <n v="20880"/>
        <n v="10847"/>
        <n v="20724"/>
        <n v="30208"/>
        <n v="58475"/>
        <n v="18692"/>
        <n v="16362"/>
      </sharedItems>
    </cacheField>
    <cacheField name="Payment Mode" numFmtId="0">
      <sharedItems/>
    </cacheField>
    <cacheField name="Order Status" numFmtId="0">
      <sharedItems count="3">
        <s v="Delivered"/>
        <s v="Returned"/>
        <s v="Cancell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Sandhya Menon" refreshedDate="46117.497845254627" backgroundQuery="1" createdVersion="8" refreshedVersion="8" minRefreshableVersion="3" recordCount="0" supportSubquery="1" supportAdvancedDrill="1">
  <cacheSource type="external" connectionId="1"/>
  <cacheFields count="3">
    <cacheField name="[Measures].[Sum of Total Sales]" caption="Sum of Total Sales" numFmtId="0" hierarchy="18" level="32767"/>
    <cacheField name="[Table1].[Product Name].[Product Name]" caption="Product Name" numFmtId="0" hierarchy="2" level="1">
      <sharedItems count="10">
        <s v="Bag"/>
        <s v="Headphones"/>
        <s v="Jeans"/>
        <s v="Laptop"/>
        <s v="Mobile"/>
        <s v="Perfume"/>
        <s v="Shampoo"/>
        <s v="Shoes"/>
        <s v="T-Shirt"/>
        <s v="Watch"/>
      </sharedItems>
    </cacheField>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Sandhya Menon" refreshedDate="46117.497845833335" backgroundQuery="1" createdVersion="8" refreshedVersion="8" minRefreshableVersion="3" recordCount="0" supportSubquery="1" supportAdvancedDrill="1">
  <cacheSource type="external" connectionId="1"/>
  <cacheFields count="3">
    <cacheField name="[Table1].[Order Status].[Order Status]" caption="Order Status" numFmtId="0" hierarchy="13" level="1">
      <sharedItems count="3">
        <s v="Cancelled"/>
        <s v="Delivered"/>
        <s v="Returned"/>
      </sharedItems>
    </cacheField>
    <cacheField name="[Measures].[Count of Order ID]" caption="Count of Order ID" numFmtId="0" hierarchy="20" level="32767"/>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Sandhya Menon" refreshedDate="46117.497846180559" backgroundQuery="1" createdVersion="8" refreshedVersion="8" minRefreshableVersion="3" recordCount="0" supportSubquery="1" supportAdvancedDrill="1">
  <cacheSource type="external" connectionId="1"/>
  <cacheFields count="3">
    <cacheField name="[Table1].[Region].[Region]" caption="Region" numFmtId="0" hierarchy="5" level="1">
      <sharedItems count="4">
        <s v="East"/>
        <s v="North"/>
        <s v="South"/>
        <s v="West"/>
      </sharedItems>
    </cacheField>
    <cacheField name="[Measures].[Sum of Total Sales]" caption="Sum of Total Sales" numFmtId="0" hierarchy="18" level="32767"/>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Sandhya Menon" refreshedDate="46117.497846527775" backgroundQuery="1" createdVersion="8" refreshedVersion="8" minRefreshableVersion="3" recordCount="0" supportSubquery="1" supportAdvancedDrill="1">
  <cacheSource type="external" connectionId="1"/>
  <cacheFields count="3">
    <cacheField name="[Table1].[Region].[Region]" caption="Region" numFmtId="0" hierarchy="5" level="1">
      <sharedItems count="4">
        <s v="East"/>
        <s v="North"/>
        <s v="South"/>
        <s v="West"/>
      </sharedItems>
    </cacheField>
    <cacheField name="[Measures].[Sum of Profit]" caption="Sum of Profit" numFmtId="0" hierarchy="21" level="32767"/>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Sandhya Menon" refreshedDate="46117.497846874998" backgroundQuery="1" createdVersion="8" refreshedVersion="8" minRefreshableVersion="3" recordCount="0" supportSubquery="1" supportAdvancedDrill="1">
  <cacheSource type="external" connectionId="1"/>
  <cacheFields count="3">
    <cacheField name="[Table1].[Product Name].[Product Name]" caption="Product Name" numFmtId="0" hierarchy="2" level="1">
      <sharedItems count="10">
        <s v="Bag"/>
        <s v="Headphones"/>
        <s v="Jeans"/>
        <s v="Laptop"/>
        <s v="Mobile"/>
        <s v="Perfume"/>
        <s v="Shampoo"/>
        <s v="Shoes"/>
        <s v="T-Shirt"/>
        <s v="Watch"/>
      </sharedItems>
    </cacheField>
    <cacheField name="[Measures].[Sum of Discount (%)]" caption="Sum of Discount (%)" numFmtId="0" hierarchy="23" level="32767"/>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Sandhya Menon" refreshedDate="46117.49784733796" backgroundQuery="1" createdVersion="8" refreshedVersion="8" minRefreshableVersion="3" recordCount="0" supportSubquery="1" supportAdvancedDrill="1">
  <cacheSource type="external" connectionId="1"/>
  <cacheFields count="3">
    <cacheField name="[Table1].[MONTH].[MONTH]" caption="MONTH" numFmtId="0" hierarchy="15" level="1">
      <sharedItems count="4">
        <s v="Apr"/>
        <s v="Feb"/>
        <s v="Jan"/>
        <s v="Mar"/>
      </sharedItems>
    </cacheField>
    <cacheField name="[Measures].[Sum of Total Sales]" caption="Sum of Total Sales" numFmtId="0" hierarchy="18" level="32767"/>
    <cacheField name="[Table1].[Category].[Category]" caption="Category" numFmtId="0" hierarchy="3" level="1">
      <sharedItems containsSemiMixedTypes="0" containsNonDate="0" containsString="0"/>
    </cacheField>
  </cacheFields>
  <cacheHierarchies count="24">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defaultMemberUniqueName="[Table1].[Order Date].[All]" allUniqueName="[Table1].[Order Dat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elling Price]" caption="Selling Price" attribute="1" defaultMemberUniqueName="[Table1].[Selling Price].[All]" allUniqueName="[Table1].[Selling Price].[All]" dimensionUniqueName="[Table1]" displayFolder="" count="0" memberValueDatatype="20" unbalanced="0"/>
    <cacheHierarchy uniqueName="[Table1].[Cost Price]" caption="Cost Price" attribute="1" defaultMemberUniqueName="[Table1].[Cost Price].[All]" allUniqueName="[Table1].[Cost Price].[All]" dimensionUniqueName="[Table1]" displayFolder="" count="0" memberValueDatatype="20" unbalanced="0"/>
    <cacheHierarchy uniqueName="[Table1].[Discount (%)]" caption="Discount (%)" attribute="1" defaultMemberUniqueName="[Table1].[Discount (%)].[All]" allUniqueName="[Table1].[Discount (%)].[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 Status]" caption="Count of Order Status" measure="1" displayFolder="" measureGroup="Table1" count="0" oneField="1"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1" count="0" oneField="1"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Table1" count="0" oneField="1" hidden="1">
      <extLst>
        <ext xmlns:x15="http://schemas.microsoft.com/office/spreadsheetml/2010/11/main" uri="{B97F6D7D-B522-45F9-BDA1-12C45D357490}">
          <x15:cacheHierarchy aggregatedColumn="11"/>
        </ext>
      </extLst>
    </cacheHierarchy>
    <cacheHierarchy uniqueName="[Measures].[Sum of Selling Price]" caption="Sum of Selling Price" measure="1" displayFolder="" measureGroup="Table1" count="0" oneField="1"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Table1" count="0" oneField="1"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Sandhya Menon" refreshedDate="46116.681906597223"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Measures]" caption="Measures" attribute="1" keyAttribute="1" defaultMemberUniqueName="[Measures].[__No measures defined]" dimensionUniqueName="[Measures]" displayFolder="" measures="1" count="1" memberValueDatatype="13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defaultMemberUniqueName="[Table1].[Order Date].[All]" allUniqueName="[Table1].[Order Date].[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Selling Price]" caption="Selling Price" attribute="1" defaultMemberUniqueName="[Table1].[Selling Price].[All]" allUniqueName="[Table1].[Selling Price].[All]" dimensionUniqueName="[Table1]" displayFolder="" count="2" memberValueDatatype="20" unbalanced="0"/>
    <cacheHierarchy uniqueName="[Table1].[Cost Price]" caption="Cost Price" attribute="1" defaultMemberUniqueName="[Table1].[Cost Price].[All]" allUniqueName="[Table1].[Cost Price].[All]" dimensionUniqueName="[Table1]" displayFolder="" count="2" memberValueDatatype="20" unbalanced="0"/>
    <cacheHierarchy uniqueName="[Table1].[Discount (%)]" caption="Discount (%)" attribute="1" defaultMemberUniqueName="[Table1].[Discount (%)].[All]" allUniqueName="[Table1].[Discount (%)].[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20"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7204858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s v="19-02-2026"/>
    <x v="0"/>
    <s v="Clothing"/>
    <s v="Denim"/>
    <s v="East"/>
    <n v="4"/>
    <n v="5600"/>
    <n v="3864"/>
    <n v="0"/>
    <n v="22400"/>
    <x v="0"/>
    <s v="UPI"/>
    <x v="0"/>
  </r>
  <r>
    <s v="ORD002"/>
    <s v="08-01-2026"/>
    <x v="1"/>
    <s v="Footwear"/>
    <s v="Sports"/>
    <s v="South"/>
    <n v="1"/>
    <n v="23142"/>
    <n v="18745"/>
    <n v="15"/>
    <n v="19670.7"/>
    <x v="1"/>
    <s v="Card"/>
    <x v="0"/>
  </r>
  <r>
    <s v="ORD003"/>
    <s v="28-02-2026"/>
    <x v="1"/>
    <s v="Footwear"/>
    <s v="Sports"/>
    <s v="North"/>
    <n v="4"/>
    <n v="40579"/>
    <n v="32463"/>
    <n v="20"/>
    <n v="129852.8"/>
    <x v="2"/>
    <s v="Cash"/>
    <x v="1"/>
  </r>
  <r>
    <s v="ORD004"/>
    <s v="04-02-2026"/>
    <x v="2"/>
    <s v="Personal Care"/>
    <s v="Hair Care"/>
    <s v="East"/>
    <n v="3"/>
    <n v="29847"/>
    <n v="23877"/>
    <n v="15"/>
    <n v="76109.850000000006"/>
    <x v="3"/>
    <s v="COD"/>
    <x v="1"/>
  </r>
  <r>
    <s v="ORD005"/>
    <s v="24-03-2026"/>
    <x v="1"/>
    <s v="Footwear"/>
    <s v="Sports"/>
    <s v="East"/>
    <n v="4"/>
    <n v="36812"/>
    <n v="27977"/>
    <n v="0"/>
    <n v="147248"/>
    <x v="4"/>
    <s v="Card"/>
    <x v="0"/>
  </r>
  <r>
    <s v="ORD006"/>
    <s v="04-01-2026"/>
    <x v="3"/>
    <s v="Electronics"/>
    <s v="Accessories"/>
    <s v="East"/>
    <n v="2"/>
    <n v="29670"/>
    <n v="23439"/>
    <n v="10"/>
    <n v="53406"/>
    <x v="5"/>
    <s v="COD"/>
    <x v="1"/>
  </r>
  <r>
    <s v="ORD007"/>
    <s v="26-02-2026"/>
    <x v="4"/>
    <s v="Electronics"/>
    <s v="Computers"/>
    <s v="West"/>
    <n v="3"/>
    <n v="4933"/>
    <n v="3403"/>
    <n v="0"/>
    <n v="14799"/>
    <x v="6"/>
    <s v="Card"/>
    <x v="2"/>
  </r>
  <r>
    <s v="ORD008"/>
    <s v="15-02-2026"/>
    <x v="2"/>
    <s v="Personal Care"/>
    <s v="Hair Care"/>
    <s v="West"/>
    <n v="4"/>
    <n v="35918"/>
    <n v="24783"/>
    <n v="0"/>
    <n v="143672"/>
    <x v="7"/>
    <s v="Card"/>
    <x v="2"/>
  </r>
  <r>
    <s v="ORD009"/>
    <s v="13-01-2026"/>
    <x v="5"/>
    <s v="Accessories"/>
    <s v="Fashion"/>
    <s v="North"/>
    <n v="5"/>
    <n v="16230"/>
    <n v="11847"/>
    <n v="20"/>
    <n v="64920"/>
    <x v="8"/>
    <s v="Cash"/>
    <x v="1"/>
  </r>
  <r>
    <s v="ORD010"/>
    <s v="29-01-2026"/>
    <x v="6"/>
    <s v="Electronics"/>
    <s v="Smartphones"/>
    <s v="East"/>
    <n v="1"/>
    <n v="41103"/>
    <n v="29594"/>
    <n v="10"/>
    <n v="36992.699999999997"/>
    <x v="9"/>
    <s v="Card"/>
    <x v="2"/>
  </r>
  <r>
    <s v="ORD011"/>
    <s v="09-02-2026"/>
    <x v="2"/>
    <s v="Personal Care"/>
    <s v="Hair Care"/>
    <s v="North"/>
    <n v="2"/>
    <n v="14379"/>
    <n v="9777"/>
    <n v="15"/>
    <n v="24444.3"/>
    <x v="10"/>
    <s v="COD"/>
    <x v="1"/>
  </r>
  <r>
    <s v="ORD012"/>
    <s v="06-02-2026"/>
    <x v="7"/>
    <s v="Accessories"/>
    <s v="Travel"/>
    <s v="East"/>
    <n v="2"/>
    <n v="27390"/>
    <n v="20542"/>
    <n v="0"/>
    <n v="54780"/>
    <x v="11"/>
    <s v="UPI"/>
    <x v="2"/>
  </r>
  <r>
    <s v="ORD013"/>
    <s v="10-02-2026"/>
    <x v="8"/>
    <s v="Clothing"/>
    <s v="Casual"/>
    <s v="South"/>
    <n v="5"/>
    <n v="45981"/>
    <n v="28048"/>
    <n v="15"/>
    <n v="195419.25"/>
    <x v="12"/>
    <s v="Cash"/>
    <x v="1"/>
  </r>
  <r>
    <s v="ORD014"/>
    <s v="26-02-2026"/>
    <x v="2"/>
    <s v="Personal Care"/>
    <s v="Hair Care"/>
    <s v="East"/>
    <n v="4"/>
    <n v="44438"/>
    <n v="27107"/>
    <n v="15"/>
    <n v="151089.20000000001"/>
    <x v="13"/>
    <s v="Card"/>
    <x v="1"/>
  </r>
  <r>
    <s v="ORD015"/>
    <s v="19-03-2026"/>
    <x v="5"/>
    <s v="Accessories"/>
    <s v="Fashion"/>
    <s v="East"/>
    <n v="2"/>
    <n v="17703"/>
    <n v="10621"/>
    <n v="20"/>
    <n v="28324.799999999999"/>
    <x v="14"/>
    <s v="Card"/>
    <x v="1"/>
  </r>
  <r>
    <s v="ORD016"/>
    <s v="19-02-2026"/>
    <x v="2"/>
    <s v="Personal Care"/>
    <s v="Hair Care"/>
    <s v="East"/>
    <n v="4"/>
    <n v="31683"/>
    <n v="21227"/>
    <n v="15"/>
    <n v="107722.2"/>
    <x v="15"/>
    <s v="COD"/>
    <x v="1"/>
  </r>
  <r>
    <s v="ORD017"/>
    <s v="01-04-2026"/>
    <x v="4"/>
    <s v="Electronics"/>
    <s v="Computers"/>
    <s v="East"/>
    <n v="2"/>
    <n v="42636"/>
    <n v="26007"/>
    <n v="20"/>
    <n v="68217.600000000006"/>
    <x v="16"/>
    <s v="UPI"/>
    <x v="1"/>
  </r>
  <r>
    <s v="ORD018"/>
    <s v="01-02-2026"/>
    <x v="3"/>
    <s v="Electronics"/>
    <s v="Accessories"/>
    <s v="South"/>
    <n v="3"/>
    <n v="5032"/>
    <n v="4025"/>
    <n v="20"/>
    <n v="12076.8"/>
    <x v="17"/>
    <s v="Cash"/>
    <x v="2"/>
  </r>
  <r>
    <s v="ORD019"/>
    <s v="25-02-2026"/>
    <x v="9"/>
    <s v="Personal Care"/>
    <s v="Fragrance"/>
    <s v="North"/>
    <n v="3"/>
    <n v="48720"/>
    <n v="36540"/>
    <n v="10"/>
    <n v="131544"/>
    <x v="18"/>
    <s v="UPI"/>
    <x v="0"/>
  </r>
  <r>
    <s v="ORD020"/>
    <s v="07-02-2026"/>
    <x v="3"/>
    <s v="Electronics"/>
    <s v="Accessories"/>
    <s v="North"/>
    <n v="3"/>
    <n v="23448"/>
    <n v="15944"/>
    <n v="20"/>
    <n v="56275.199999999997"/>
    <x v="19"/>
    <s v="UPI"/>
    <x v="1"/>
  </r>
  <r>
    <s v="ORD021"/>
    <s v="14-01-2026"/>
    <x v="3"/>
    <s v="Electronics"/>
    <s v="Accessories"/>
    <s v="South"/>
    <n v="4"/>
    <n v="21532"/>
    <n v="15287"/>
    <n v="20"/>
    <n v="68902.399999999994"/>
    <x v="20"/>
    <s v="Cash"/>
    <x v="2"/>
  </r>
  <r>
    <s v="ORD022"/>
    <s v="28-01-2026"/>
    <x v="1"/>
    <s v="Footwear"/>
    <s v="Sports"/>
    <s v="South"/>
    <n v="4"/>
    <n v="2502"/>
    <n v="1901"/>
    <n v="0"/>
    <n v="10008"/>
    <x v="21"/>
    <s v="Cash"/>
    <x v="0"/>
  </r>
  <r>
    <s v="ORD023"/>
    <s v="02-02-2026"/>
    <x v="8"/>
    <s v="Clothing"/>
    <s v="Casual"/>
    <s v="East"/>
    <n v="3"/>
    <n v="33036"/>
    <n v="25107"/>
    <n v="20"/>
    <n v="79286.399999999994"/>
    <x v="22"/>
    <s v="UPI"/>
    <x v="2"/>
  </r>
  <r>
    <s v="ORD024"/>
    <s v="12-01-2026"/>
    <x v="1"/>
    <s v="Footwear"/>
    <s v="Sports"/>
    <s v="West"/>
    <n v="2"/>
    <n v="1783"/>
    <n v="1479"/>
    <n v="10"/>
    <n v="3209.4"/>
    <x v="23"/>
    <s v="COD"/>
    <x v="0"/>
  </r>
  <r>
    <s v="ORD025"/>
    <s v="20-01-2026"/>
    <x v="1"/>
    <s v="Footwear"/>
    <s v="Sports"/>
    <s v="South"/>
    <n v="5"/>
    <n v="32983"/>
    <n v="24407"/>
    <n v="20"/>
    <n v="131932"/>
    <x v="24"/>
    <s v="Card"/>
    <x v="2"/>
  </r>
  <r>
    <s v="ORD026"/>
    <s v="15-01-2026"/>
    <x v="9"/>
    <s v="Personal Care"/>
    <s v="Fragrance"/>
    <s v="West"/>
    <n v="4"/>
    <n v="26205"/>
    <n v="22012"/>
    <n v="5"/>
    <n v="99579"/>
    <x v="25"/>
    <s v="UPI"/>
    <x v="2"/>
  </r>
  <r>
    <s v="ORD027"/>
    <s v="23-01-2026"/>
    <x v="6"/>
    <s v="Electronics"/>
    <s v="Smartphones"/>
    <s v="East"/>
    <n v="5"/>
    <n v="9978"/>
    <n v="6385"/>
    <n v="5"/>
    <n v="47395.5"/>
    <x v="26"/>
    <s v="UPI"/>
    <x v="1"/>
  </r>
  <r>
    <s v="ORD028"/>
    <s v="16-03-2026"/>
    <x v="3"/>
    <s v="Electronics"/>
    <s v="Accessories"/>
    <s v="South"/>
    <n v="2"/>
    <n v="12910"/>
    <n v="10328"/>
    <n v="15"/>
    <n v="21947"/>
    <x v="27"/>
    <s v="COD"/>
    <x v="0"/>
  </r>
  <r>
    <s v="ORD029"/>
    <s v="07-02-2026"/>
    <x v="0"/>
    <s v="Clothing"/>
    <s v="Denim"/>
    <s v="South"/>
    <n v="1"/>
    <n v="12064"/>
    <n v="8806"/>
    <n v="15"/>
    <n v="10254.4"/>
    <x v="28"/>
    <s v="Card"/>
    <x v="1"/>
  </r>
  <r>
    <s v="ORD030"/>
    <s v="25-03-2026"/>
    <x v="2"/>
    <s v="Personal Care"/>
    <s v="Hair Care"/>
    <s v="North"/>
    <n v="3"/>
    <n v="42442"/>
    <n v="33529"/>
    <n v="15"/>
    <n v="108227.1"/>
    <x v="29"/>
    <s v="Cash"/>
    <x v="1"/>
  </r>
  <r>
    <s v="ORD031"/>
    <s v="15-02-2026"/>
    <x v="6"/>
    <s v="Electronics"/>
    <s v="Smartphones"/>
    <s v="North"/>
    <n v="3"/>
    <n v="24511"/>
    <n v="17402"/>
    <n v="10"/>
    <n v="66179.7"/>
    <x v="30"/>
    <s v="Cash"/>
    <x v="2"/>
  </r>
  <r>
    <s v="ORD032"/>
    <s v="02-01-2026"/>
    <x v="7"/>
    <s v="Accessories"/>
    <s v="Travel"/>
    <s v="East"/>
    <n v="4"/>
    <n v="19108"/>
    <n v="13184"/>
    <n v="0"/>
    <n v="76432"/>
    <x v="31"/>
    <s v="Cash"/>
    <x v="0"/>
  </r>
  <r>
    <s v="ORD033"/>
    <s v="06-02-2026"/>
    <x v="0"/>
    <s v="Clothing"/>
    <s v="Denim"/>
    <s v="North"/>
    <n v="4"/>
    <n v="48342"/>
    <n v="39640"/>
    <n v="5"/>
    <n v="183699.6"/>
    <x v="32"/>
    <s v="COD"/>
    <x v="1"/>
  </r>
  <r>
    <s v="ORD034"/>
    <s v="20-01-2026"/>
    <x v="3"/>
    <s v="Electronics"/>
    <s v="Accessories"/>
    <s v="West"/>
    <n v="2"/>
    <n v="37454"/>
    <n v="29963"/>
    <n v="15"/>
    <n v="63671.8"/>
    <x v="33"/>
    <s v="Card"/>
    <x v="2"/>
  </r>
  <r>
    <s v="ORD035"/>
    <s v="17-03-2026"/>
    <x v="5"/>
    <s v="Accessories"/>
    <s v="Fashion"/>
    <s v="West"/>
    <n v="4"/>
    <n v="24003"/>
    <n v="16562"/>
    <n v="15"/>
    <n v="81610.2"/>
    <x v="34"/>
    <s v="UPI"/>
    <x v="1"/>
  </r>
  <r>
    <s v="ORD036"/>
    <s v="27-03-2026"/>
    <x v="6"/>
    <s v="Electronics"/>
    <s v="Smartphones"/>
    <s v="North"/>
    <n v="4"/>
    <n v="27455"/>
    <n v="20865"/>
    <n v="5"/>
    <n v="104329"/>
    <x v="35"/>
    <s v="Card"/>
    <x v="0"/>
  </r>
  <r>
    <s v="ORD037"/>
    <s v="15-02-2026"/>
    <x v="1"/>
    <s v="Footwear"/>
    <s v="Sports"/>
    <s v="West"/>
    <n v="4"/>
    <n v="42984"/>
    <n v="26220"/>
    <n v="5"/>
    <n v="163339.20000000001"/>
    <x v="36"/>
    <s v="COD"/>
    <x v="1"/>
  </r>
  <r>
    <s v="ORD038"/>
    <s v="26-01-2026"/>
    <x v="7"/>
    <s v="Accessories"/>
    <s v="Travel"/>
    <s v="South"/>
    <n v="4"/>
    <n v="33029"/>
    <n v="26423"/>
    <n v="10"/>
    <n v="118904.4"/>
    <x v="37"/>
    <s v="Cash"/>
    <x v="2"/>
  </r>
  <r>
    <s v="ORD039"/>
    <s v="13-01-2026"/>
    <x v="6"/>
    <s v="Electronics"/>
    <s v="Smartphones"/>
    <s v="North"/>
    <n v="3"/>
    <n v="25696"/>
    <n v="20556"/>
    <n v="5"/>
    <n v="73233.600000000006"/>
    <x v="38"/>
    <s v="UPI"/>
    <x v="2"/>
  </r>
  <r>
    <s v="ORD040"/>
    <s v="08-03-2026"/>
    <x v="4"/>
    <s v="Electronics"/>
    <s v="Computers"/>
    <s v="East"/>
    <n v="4"/>
    <n v="29119"/>
    <n v="21548"/>
    <n v="15"/>
    <n v="99004.6"/>
    <x v="39"/>
    <s v="UPI"/>
    <x v="1"/>
  </r>
  <r>
    <s v="ORD041"/>
    <s v="07-02-2026"/>
    <x v="6"/>
    <s v="Electronics"/>
    <s v="Smartphones"/>
    <s v="South"/>
    <n v="5"/>
    <n v="13159"/>
    <n v="11185"/>
    <n v="5"/>
    <n v="62505.25"/>
    <x v="40"/>
    <s v="Cash"/>
    <x v="1"/>
  </r>
  <r>
    <s v="ORD042"/>
    <s v="02-01-2026"/>
    <x v="7"/>
    <s v="Accessories"/>
    <s v="Travel"/>
    <s v="South"/>
    <n v="5"/>
    <n v="48368"/>
    <n v="36276"/>
    <n v="20"/>
    <n v="193472"/>
    <x v="41"/>
    <s v="Cash"/>
    <x v="1"/>
  </r>
  <r>
    <s v="ORD043"/>
    <s v="12-03-2026"/>
    <x v="5"/>
    <s v="Accessories"/>
    <s v="Fashion"/>
    <s v="East"/>
    <n v="1"/>
    <n v="39415"/>
    <n v="31137"/>
    <n v="20"/>
    <n v="31532"/>
    <x v="42"/>
    <s v="Card"/>
    <x v="0"/>
  </r>
  <r>
    <s v="ORD044"/>
    <s v="23-03-2026"/>
    <x v="9"/>
    <s v="Personal Care"/>
    <s v="Fragrance"/>
    <s v="East"/>
    <n v="4"/>
    <n v="859"/>
    <n v="678"/>
    <n v="20"/>
    <n v="2748.8"/>
    <x v="43"/>
    <s v="COD"/>
    <x v="1"/>
  </r>
  <r>
    <s v="ORD045"/>
    <s v="11-01-2026"/>
    <x v="6"/>
    <s v="Electronics"/>
    <s v="Smartphones"/>
    <s v="East"/>
    <n v="4"/>
    <n v="46522"/>
    <n v="32565"/>
    <n v="20"/>
    <n v="148870.39999999999"/>
    <x v="44"/>
    <s v="Cash"/>
    <x v="0"/>
  </r>
  <r>
    <s v="ORD046"/>
    <s v="22-03-2026"/>
    <x v="8"/>
    <s v="Clothing"/>
    <s v="Casual"/>
    <s v="West"/>
    <n v="3"/>
    <n v="6257"/>
    <n v="4817"/>
    <n v="10"/>
    <n v="16893.900000000001"/>
    <x v="45"/>
    <s v="Cash"/>
    <x v="1"/>
  </r>
  <r>
    <s v="ORD047"/>
    <s v="24-02-2026"/>
    <x v="0"/>
    <s v="Clothing"/>
    <s v="Denim"/>
    <s v="South"/>
    <n v="4"/>
    <n v="21368"/>
    <n v="15598"/>
    <n v="0"/>
    <n v="85472"/>
    <x v="46"/>
    <s v="Cash"/>
    <x v="2"/>
  </r>
  <r>
    <s v="ORD048"/>
    <s v="09-02-2026"/>
    <x v="1"/>
    <s v="Footwear"/>
    <s v="Sports"/>
    <s v="North"/>
    <n v="1"/>
    <n v="47266"/>
    <n v="30250"/>
    <n v="20"/>
    <n v="37812.800000000003"/>
    <x v="47"/>
    <s v="COD"/>
    <x v="0"/>
  </r>
  <r>
    <s v="ORD049"/>
    <s v="02-02-2026"/>
    <x v="5"/>
    <s v="Accessories"/>
    <s v="Fashion"/>
    <s v="South"/>
    <n v="1"/>
    <n v="38971"/>
    <n v="31176"/>
    <n v="20"/>
    <n v="31176.799999999999"/>
    <x v="48"/>
    <s v="COD"/>
    <x v="0"/>
  </r>
  <r>
    <s v="ORD050"/>
    <s v="31-03-2026"/>
    <x v="6"/>
    <s v="Electronics"/>
    <s v="Smartphones"/>
    <s v="East"/>
    <n v="2"/>
    <n v="42020"/>
    <n v="31935"/>
    <n v="5"/>
    <n v="79838"/>
    <x v="49"/>
    <s v="Card"/>
    <x v="2"/>
  </r>
  <r>
    <s v="ORD051"/>
    <s v="22-02-2026"/>
    <x v="9"/>
    <s v="Personal Care"/>
    <s v="Fragrance"/>
    <s v="South"/>
    <n v="1"/>
    <n v="4249"/>
    <n v="2761"/>
    <n v="0"/>
    <n v="4249"/>
    <x v="50"/>
    <s v="UPI"/>
    <x v="0"/>
  </r>
  <r>
    <s v="ORD052"/>
    <s v="03-01-2026"/>
    <x v="0"/>
    <s v="Clothing"/>
    <s v="Denim"/>
    <s v="East"/>
    <n v="4"/>
    <n v="21665"/>
    <n v="14732"/>
    <n v="0"/>
    <n v="86660"/>
    <x v="51"/>
    <s v="Card"/>
    <x v="1"/>
  </r>
  <r>
    <s v="ORD053"/>
    <s v="26-01-2026"/>
    <x v="0"/>
    <s v="Clothing"/>
    <s v="Denim"/>
    <s v="North"/>
    <n v="1"/>
    <n v="22008"/>
    <n v="17826"/>
    <n v="20"/>
    <n v="17606.400000000001"/>
    <x v="52"/>
    <s v="UPI"/>
    <x v="1"/>
  </r>
  <r>
    <s v="ORD054"/>
    <s v="07-01-2026"/>
    <x v="8"/>
    <s v="Clothing"/>
    <s v="Casual"/>
    <s v="South"/>
    <n v="5"/>
    <n v="21894"/>
    <n v="15763"/>
    <n v="0"/>
    <n v="109470"/>
    <x v="53"/>
    <s v="UPI"/>
    <x v="2"/>
  </r>
  <r>
    <s v="ORD055"/>
    <s v="22-02-2026"/>
    <x v="7"/>
    <s v="Accessories"/>
    <s v="Travel"/>
    <s v="West"/>
    <n v="1"/>
    <n v="21072"/>
    <n v="13275"/>
    <n v="5"/>
    <n v="20018.400000000001"/>
    <x v="54"/>
    <s v="UPI"/>
    <x v="0"/>
  </r>
  <r>
    <s v="ORD056"/>
    <s v="28-03-2026"/>
    <x v="6"/>
    <s v="Electronics"/>
    <s v="Smartphones"/>
    <s v="West"/>
    <n v="1"/>
    <n v="24766"/>
    <n v="18326"/>
    <n v="10"/>
    <n v="22289.4"/>
    <x v="55"/>
    <s v="Cash"/>
    <x v="1"/>
  </r>
  <r>
    <s v="ORD057"/>
    <s v="15-01-2026"/>
    <x v="1"/>
    <s v="Footwear"/>
    <s v="Sports"/>
    <s v="West"/>
    <n v="5"/>
    <n v="48966"/>
    <n v="33786"/>
    <n v="10"/>
    <n v="220347"/>
    <x v="56"/>
    <s v="UPI"/>
    <x v="0"/>
  </r>
  <r>
    <s v="ORD058"/>
    <s v="30-01-2026"/>
    <x v="9"/>
    <s v="Personal Care"/>
    <s v="Fragrance"/>
    <s v="South"/>
    <n v="3"/>
    <n v="11025"/>
    <n v="8379"/>
    <n v="20"/>
    <n v="26460"/>
    <x v="57"/>
    <s v="Cash"/>
    <x v="1"/>
  </r>
  <r>
    <s v="ORD059"/>
    <s v="29-01-2026"/>
    <x v="6"/>
    <s v="Electronics"/>
    <s v="Smartphones"/>
    <s v="East"/>
    <n v="4"/>
    <n v="38028"/>
    <n v="31182"/>
    <n v="5"/>
    <n v="144506.4"/>
    <x v="58"/>
    <s v="Cash"/>
    <x v="2"/>
  </r>
  <r>
    <s v="ORD060"/>
    <s v="29-01-2026"/>
    <x v="1"/>
    <s v="Footwear"/>
    <s v="Sports"/>
    <s v="North"/>
    <n v="2"/>
    <n v="14318"/>
    <n v="11311"/>
    <n v="5"/>
    <n v="27204.2"/>
    <x v="59"/>
    <s v="COD"/>
    <x v="2"/>
  </r>
  <r>
    <s v="ORD061"/>
    <s v="12-03-2026"/>
    <x v="2"/>
    <s v="Personal Care"/>
    <s v="Hair Care"/>
    <s v="West"/>
    <n v="1"/>
    <n v="30091"/>
    <n v="23170"/>
    <n v="5"/>
    <n v="28586.45"/>
    <x v="60"/>
    <s v="UPI"/>
    <x v="2"/>
  </r>
  <r>
    <s v="ORD062"/>
    <s v="26-01-2026"/>
    <x v="4"/>
    <s v="Electronics"/>
    <s v="Computers"/>
    <s v="West"/>
    <n v="4"/>
    <n v="36014"/>
    <n v="23048"/>
    <n v="0"/>
    <n v="144056"/>
    <x v="61"/>
    <s v="Cash"/>
    <x v="2"/>
  </r>
  <r>
    <s v="ORD063"/>
    <s v="07-03-2026"/>
    <x v="6"/>
    <s v="Electronics"/>
    <s v="Smartphones"/>
    <s v="West"/>
    <n v="4"/>
    <n v="7470"/>
    <n v="6125"/>
    <n v="10"/>
    <n v="26892"/>
    <x v="62"/>
    <s v="COD"/>
    <x v="0"/>
  </r>
  <r>
    <s v="ORD064"/>
    <s v="28-03-2026"/>
    <x v="9"/>
    <s v="Personal Care"/>
    <s v="Fragrance"/>
    <s v="East"/>
    <n v="3"/>
    <n v="18302"/>
    <n v="14824"/>
    <n v="0"/>
    <n v="54906"/>
    <x v="63"/>
    <s v="COD"/>
    <x v="0"/>
  </r>
  <r>
    <s v="ORD065"/>
    <s v="12-01-2026"/>
    <x v="7"/>
    <s v="Accessories"/>
    <s v="Travel"/>
    <s v="West"/>
    <n v="2"/>
    <n v="8041"/>
    <n v="5869"/>
    <n v="0"/>
    <n v="16082"/>
    <x v="64"/>
    <s v="Card"/>
    <x v="1"/>
  </r>
  <r>
    <s v="ORD066"/>
    <s v="25-03-2026"/>
    <x v="9"/>
    <s v="Personal Care"/>
    <s v="Fragrance"/>
    <s v="East"/>
    <n v="2"/>
    <n v="30670"/>
    <n v="19935"/>
    <n v="10"/>
    <n v="55206"/>
    <x v="65"/>
    <s v="UPI"/>
    <x v="2"/>
  </r>
  <r>
    <s v="ORD067"/>
    <s v="04-01-2026"/>
    <x v="0"/>
    <s v="Clothing"/>
    <s v="Denim"/>
    <s v="South"/>
    <n v="5"/>
    <n v="22037"/>
    <n v="15646"/>
    <n v="20"/>
    <n v="88148"/>
    <x v="66"/>
    <s v="Card"/>
    <x v="2"/>
  </r>
  <r>
    <s v="ORD068"/>
    <s v="11-02-2026"/>
    <x v="0"/>
    <s v="Clothing"/>
    <s v="Denim"/>
    <s v="East"/>
    <n v="2"/>
    <n v="33592"/>
    <n v="21498"/>
    <n v="10"/>
    <n v="60465.599999999999"/>
    <x v="67"/>
    <s v="UPI"/>
    <x v="0"/>
  </r>
  <r>
    <s v="ORD069"/>
    <s v="01-01-2026"/>
    <x v="4"/>
    <s v="Electronics"/>
    <s v="Computers"/>
    <s v="East"/>
    <n v="5"/>
    <n v="3023"/>
    <n v="1813"/>
    <n v="20"/>
    <n v="12092"/>
    <x v="68"/>
    <s v="UPI"/>
    <x v="1"/>
  </r>
  <r>
    <s v="ORD070"/>
    <s v="11-01-2026"/>
    <x v="8"/>
    <s v="Clothing"/>
    <s v="Casual"/>
    <s v="East"/>
    <n v="1"/>
    <n v="7409"/>
    <n v="6001"/>
    <n v="5"/>
    <n v="7038.55"/>
    <x v="69"/>
    <s v="Cash"/>
    <x v="2"/>
  </r>
  <r>
    <s v="ORD071"/>
    <s v="25-02-2026"/>
    <x v="0"/>
    <s v="Clothing"/>
    <s v="Denim"/>
    <s v="North"/>
    <n v="1"/>
    <n v="9863"/>
    <n v="8383"/>
    <n v="20"/>
    <n v="7890.4"/>
    <x v="70"/>
    <s v="UPI"/>
    <x v="0"/>
  </r>
  <r>
    <s v="ORD072"/>
    <s v="09-03-2026"/>
    <x v="9"/>
    <s v="Personal Care"/>
    <s v="Fragrance"/>
    <s v="North"/>
    <n v="1"/>
    <n v="15708"/>
    <n v="11466"/>
    <n v="20"/>
    <n v="12566.4"/>
    <x v="71"/>
    <s v="Card"/>
    <x v="2"/>
  </r>
  <r>
    <s v="ORD073"/>
    <s v="28-02-2026"/>
    <x v="6"/>
    <s v="Electronics"/>
    <s v="Smartphones"/>
    <s v="West"/>
    <n v="2"/>
    <n v="43237"/>
    <n v="28104"/>
    <n v="0"/>
    <n v="86474"/>
    <x v="72"/>
    <s v="Card"/>
    <x v="1"/>
  </r>
  <r>
    <s v="ORD074"/>
    <s v="08-03-2026"/>
    <x v="2"/>
    <s v="Personal Care"/>
    <s v="Hair Care"/>
    <s v="North"/>
    <n v="1"/>
    <n v="517"/>
    <n v="372"/>
    <n v="0"/>
    <n v="517"/>
    <x v="73"/>
    <s v="Card"/>
    <x v="2"/>
  </r>
  <r>
    <s v="ORD075"/>
    <s v="29-01-2026"/>
    <x v="6"/>
    <s v="Electronics"/>
    <s v="Smartphones"/>
    <s v="North"/>
    <n v="1"/>
    <n v="36951"/>
    <n v="22540"/>
    <n v="20"/>
    <n v="29560.799999999999"/>
    <x v="74"/>
    <s v="UPI"/>
    <x v="2"/>
  </r>
  <r>
    <s v="ORD076"/>
    <s v="17-02-2026"/>
    <x v="1"/>
    <s v="Footwear"/>
    <s v="Sports"/>
    <s v="South"/>
    <n v="5"/>
    <n v="28380"/>
    <n v="23271"/>
    <n v="10"/>
    <n v="127710"/>
    <x v="75"/>
    <s v="Card"/>
    <x v="2"/>
  </r>
  <r>
    <s v="ORD077"/>
    <s v="16-03-2026"/>
    <x v="4"/>
    <s v="Electronics"/>
    <s v="Computers"/>
    <s v="East"/>
    <n v="5"/>
    <n v="43846"/>
    <n v="34199"/>
    <n v="0"/>
    <n v="219230"/>
    <x v="76"/>
    <s v="Cash"/>
    <x v="1"/>
  </r>
  <r>
    <s v="ORD078"/>
    <s v="05-02-2026"/>
    <x v="0"/>
    <s v="Clothing"/>
    <s v="Denim"/>
    <s v="West"/>
    <n v="3"/>
    <n v="30643"/>
    <n v="25740"/>
    <n v="20"/>
    <n v="73543.199999999997"/>
    <x v="77"/>
    <s v="UPI"/>
    <x v="2"/>
  </r>
  <r>
    <s v="ORD079"/>
    <s v="18-02-2026"/>
    <x v="9"/>
    <s v="Personal Care"/>
    <s v="Fragrance"/>
    <s v="North"/>
    <n v="1"/>
    <n v="44622"/>
    <n v="30342"/>
    <n v="5"/>
    <n v="42390.9"/>
    <x v="78"/>
    <s v="Cash"/>
    <x v="2"/>
  </r>
  <r>
    <s v="ORD080"/>
    <s v="05-01-2026"/>
    <x v="4"/>
    <s v="Electronics"/>
    <s v="Computers"/>
    <s v="West"/>
    <n v="1"/>
    <n v="34489"/>
    <n v="22072"/>
    <n v="20"/>
    <n v="27591.200000000001"/>
    <x v="79"/>
    <s v="Cash"/>
    <x v="2"/>
  </r>
  <r>
    <s v="ORD081"/>
    <s v="14-03-2026"/>
    <x v="8"/>
    <s v="Clothing"/>
    <s v="Casual"/>
    <s v="East"/>
    <n v="2"/>
    <n v="19280"/>
    <n v="11760"/>
    <n v="10"/>
    <n v="34704"/>
    <x v="80"/>
    <s v="Cash"/>
    <x v="1"/>
  </r>
  <r>
    <s v="ORD082"/>
    <s v="09-01-2026"/>
    <x v="9"/>
    <s v="Personal Care"/>
    <s v="Fragrance"/>
    <s v="South"/>
    <n v="4"/>
    <n v="19345"/>
    <n v="14315"/>
    <n v="20"/>
    <n v="61904"/>
    <x v="81"/>
    <s v="Card"/>
    <x v="1"/>
  </r>
  <r>
    <s v="ORD083"/>
    <s v="05-01-2026"/>
    <x v="1"/>
    <s v="Footwear"/>
    <s v="Sports"/>
    <s v="West"/>
    <n v="5"/>
    <n v="46067"/>
    <n v="37774"/>
    <n v="15"/>
    <n v="195784.75"/>
    <x v="82"/>
    <s v="Cash"/>
    <x v="1"/>
  </r>
  <r>
    <s v="ORD084"/>
    <s v="25-01-2026"/>
    <x v="9"/>
    <s v="Personal Care"/>
    <s v="Fragrance"/>
    <s v="South"/>
    <n v="2"/>
    <n v="49788"/>
    <n v="41324"/>
    <n v="15"/>
    <n v="84639.6"/>
    <x v="83"/>
    <s v="Cash"/>
    <x v="2"/>
  </r>
  <r>
    <s v="ORD085"/>
    <s v="02-01-2026"/>
    <x v="0"/>
    <s v="Clothing"/>
    <s v="Denim"/>
    <s v="South"/>
    <n v="4"/>
    <n v="24874"/>
    <n v="15421"/>
    <n v="20"/>
    <n v="79596.800000000003"/>
    <x v="84"/>
    <s v="UPI"/>
    <x v="2"/>
  </r>
  <r>
    <s v="ORD086"/>
    <s v="14-03-2026"/>
    <x v="3"/>
    <s v="Electronics"/>
    <s v="Accessories"/>
    <s v="North"/>
    <n v="4"/>
    <n v="34469"/>
    <n v="21026"/>
    <n v="15"/>
    <n v="117194.6"/>
    <x v="85"/>
    <s v="UPI"/>
    <x v="0"/>
  </r>
  <r>
    <s v="ORD087"/>
    <s v="08-03-2026"/>
    <x v="5"/>
    <s v="Accessories"/>
    <s v="Fashion"/>
    <s v="East"/>
    <n v="3"/>
    <n v="2023"/>
    <n v="1497"/>
    <n v="15"/>
    <n v="5158.6499999999996"/>
    <x v="86"/>
    <s v="UPI"/>
    <x v="0"/>
  </r>
  <r>
    <s v="ORD088"/>
    <s v="29-03-2026"/>
    <x v="2"/>
    <s v="Personal Care"/>
    <s v="Hair Care"/>
    <s v="North"/>
    <n v="3"/>
    <n v="17222"/>
    <n v="10677"/>
    <n v="0"/>
    <n v="51666"/>
    <x v="87"/>
    <s v="Cash"/>
    <x v="0"/>
  </r>
  <r>
    <s v="ORD089"/>
    <s v="21-01-2026"/>
    <x v="3"/>
    <s v="Electronics"/>
    <s v="Accessories"/>
    <s v="South"/>
    <n v="3"/>
    <n v="14273"/>
    <n v="12132"/>
    <n v="15"/>
    <n v="36396.15"/>
    <x v="88"/>
    <s v="Card"/>
    <x v="0"/>
  </r>
  <r>
    <s v="ORD090"/>
    <s v="30-01-2026"/>
    <x v="1"/>
    <s v="Footwear"/>
    <s v="Sports"/>
    <s v="North"/>
    <n v="1"/>
    <n v="27039"/>
    <n v="22712"/>
    <n v="5"/>
    <n v="25687.05"/>
    <x v="89"/>
    <s v="COD"/>
    <x v="1"/>
  </r>
  <r>
    <s v="ORD091"/>
    <s v="02-03-2026"/>
    <x v="2"/>
    <s v="Personal Care"/>
    <s v="Hair Care"/>
    <s v="East"/>
    <n v="5"/>
    <n v="28159"/>
    <n v="17458"/>
    <n v="10"/>
    <n v="126715.5"/>
    <x v="90"/>
    <s v="Cash"/>
    <x v="2"/>
  </r>
  <r>
    <s v="ORD092"/>
    <s v="27-03-2026"/>
    <x v="8"/>
    <s v="Clothing"/>
    <s v="Casual"/>
    <s v="West"/>
    <n v="4"/>
    <n v="26800"/>
    <n v="17152"/>
    <n v="0"/>
    <n v="107200"/>
    <x v="91"/>
    <s v="COD"/>
    <x v="0"/>
  </r>
  <r>
    <s v="ORD093"/>
    <s v="04-02-2026"/>
    <x v="3"/>
    <s v="Electronics"/>
    <s v="Accessories"/>
    <s v="North"/>
    <n v="4"/>
    <n v="20923"/>
    <n v="17575"/>
    <n v="5"/>
    <n v="79507.399999999994"/>
    <x v="92"/>
    <s v="Cash"/>
    <x v="0"/>
  </r>
  <r>
    <s v="ORD094"/>
    <s v="03-03-2026"/>
    <x v="8"/>
    <s v="Clothing"/>
    <s v="Casual"/>
    <s v="South"/>
    <n v="5"/>
    <n v="10706"/>
    <n v="6530"/>
    <n v="0"/>
    <n v="53530"/>
    <x v="93"/>
    <s v="Card"/>
    <x v="2"/>
  </r>
  <r>
    <s v="ORD095"/>
    <s v="19-02-2026"/>
    <x v="0"/>
    <s v="Clothing"/>
    <s v="Denim"/>
    <s v="East"/>
    <n v="1"/>
    <n v="49302"/>
    <n v="38455"/>
    <n v="20"/>
    <n v="39441.599999999999"/>
    <x v="94"/>
    <s v="Cash"/>
    <x v="1"/>
  </r>
  <r>
    <s v="ORD096"/>
    <s v="02-02-2026"/>
    <x v="2"/>
    <s v="Personal Care"/>
    <s v="Hair Care"/>
    <s v="South"/>
    <n v="4"/>
    <n v="28780"/>
    <n v="23599"/>
    <n v="15"/>
    <n v="97852"/>
    <x v="95"/>
    <s v="UPI"/>
    <x v="0"/>
  </r>
  <r>
    <s v="ORD097"/>
    <s v="20-01-2026"/>
    <x v="2"/>
    <s v="Personal Care"/>
    <s v="Hair Care"/>
    <s v="South"/>
    <n v="4"/>
    <n v="26968"/>
    <n v="19416"/>
    <n v="15"/>
    <n v="91691.199999999997"/>
    <x v="96"/>
    <s v="COD"/>
    <x v="2"/>
  </r>
  <r>
    <s v="ORD098"/>
    <s v="21-02-2026"/>
    <x v="4"/>
    <s v="Electronics"/>
    <s v="Computers"/>
    <s v="West"/>
    <n v="5"/>
    <n v="31608"/>
    <n v="19913"/>
    <n v="15"/>
    <n v="134334"/>
    <x v="97"/>
    <s v="UPI"/>
    <x v="0"/>
  </r>
  <r>
    <s v="ORD099"/>
    <s v="18-01-2026"/>
    <x v="3"/>
    <s v="Electronics"/>
    <s v="Accessories"/>
    <s v="West"/>
    <n v="2"/>
    <n v="23363"/>
    <n v="14017"/>
    <n v="0"/>
    <n v="46726"/>
    <x v="98"/>
    <s v="Card"/>
    <x v="0"/>
  </r>
  <r>
    <s v="ORD100"/>
    <s v="09-01-2026"/>
    <x v="7"/>
    <s v="Accessories"/>
    <s v="Travel"/>
    <s v="South"/>
    <n v="2"/>
    <n v="37182"/>
    <n v="29001"/>
    <n v="5"/>
    <n v="70645.8"/>
    <x v="99"/>
    <s v="CO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D7:E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 ID" fld="1" subtotal="count" baseField="0" baseItem="0"/>
  </dataFields>
  <chartFormats count="5">
    <chartFormat chart="34"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0" count="1" selected="0">
            <x v="0"/>
          </reference>
        </references>
      </pivotArea>
    </chartFormat>
    <chartFormat chart="36" format="7">
      <pivotArea type="data" outline="0" fieldPosition="0">
        <references count="2">
          <reference field="4294967294" count="1" selected="0">
            <x v="0"/>
          </reference>
          <reference field="0" count="1" selected="0">
            <x v="1"/>
          </reference>
        </references>
      </pivotArea>
    </chartFormat>
    <chartFormat chart="36" format="8">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G10:H21"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 Sales" fld="0" baseField="0" baseItem="0"/>
  </dataFields>
  <chartFormats count="14">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1" count="1" selected="0">
            <x v="0"/>
          </reference>
        </references>
      </pivotArea>
    </chartFormat>
    <chartFormat chart="30" format="14">
      <pivotArea type="data" outline="0" fieldPosition="0">
        <references count="2">
          <reference field="4294967294" count="1" selected="0">
            <x v="0"/>
          </reference>
          <reference field="1" count="1" selected="0">
            <x v="1"/>
          </reference>
        </references>
      </pivotArea>
    </chartFormat>
    <chartFormat chart="30" format="15">
      <pivotArea type="data" outline="0" fieldPosition="0">
        <references count="2">
          <reference field="4294967294" count="1" selected="0">
            <x v="0"/>
          </reference>
          <reference field="1" count="1" selected="0">
            <x v="2"/>
          </reference>
        </references>
      </pivotArea>
    </chartFormat>
    <chartFormat chart="30" format="16">
      <pivotArea type="data" outline="0" fieldPosition="0">
        <references count="2">
          <reference field="4294967294" count="1" selected="0">
            <x v="0"/>
          </reference>
          <reference field="1" count="1" selected="0">
            <x v="3"/>
          </reference>
        </references>
      </pivotArea>
    </chartFormat>
    <chartFormat chart="30" format="17">
      <pivotArea type="data" outline="0" fieldPosition="0">
        <references count="2">
          <reference field="4294967294" count="1" selected="0">
            <x v="0"/>
          </reference>
          <reference field="1" count="1" selected="0">
            <x v="4"/>
          </reference>
        </references>
      </pivotArea>
    </chartFormat>
    <chartFormat chart="30" format="18">
      <pivotArea type="data" outline="0" fieldPosition="0">
        <references count="2">
          <reference field="4294967294" count="1" selected="0">
            <x v="0"/>
          </reference>
          <reference field="1" count="1" selected="0">
            <x v="5"/>
          </reference>
        </references>
      </pivotArea>
    </chartFormat>
    <chartFormat chart="30" format="19">
      <pivotArea type="data" outline="0" fieldPosition="0">
        <references count="2">
          <reference field="4294967294" count="1" selected="0">
            <x v="0"/>
          </reference>
          <reference field="1" count="1" selected="0">
            <x v="6"/>
          </reference>
        </references>
      </pivotArea>
    </chartFormat>
    <chartFormat chart="30" format="20">
      <pivotArea type="data" outline="0" fieldPosition="0">
        <references count="2">
          <reference field="4294967294" count="1" selected="0">
            <x v="0"/>
          </reference>
          <reference field="1" count="1" selected="0">
            <x v="7"/>
          </reference>
        </references>
      </pivotArea>
    </chartFormat>
    <chartFormat chart="30" format="21">
      <pivotArea type="data" outline="0" fieldPosition="0">
        <references count="2">
          <reference field="4294967294" count="1" selected="0">
            <x v="0"/>
          </reference>
          <reference field="1" count="1" selected="0">
            <x v="8"/>
          </reference>
        </references>
      </pivotArea>
    </chartFormat>
    <chartFormat chart="30" format="22">
      <pivotArea type="data" outline="0" fieldPosition="0">
        <references count="2">
          <reference field="4294967294" count="1" selected="0">
            <x v="0"/>
          </reference>
          <reference field="1" count="1" selected="0">
            <x v="9"/>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9">
  <location ref="M4:N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dataFields>
  <chartFormats count="1">
    <chartFormat chart="55"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0">
  <location ref="M14:N25"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Discount (%)" fld="1" baseField="0" baseItem="0"/>
  </dataFields>
  <chartFormats count="1">
    <chartFormat chart="6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8">
  <location ref="D16:E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chartFormats count="1">
    <chartFormat chart="55"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J11:K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dataFields>
  <chartFormats count="2">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sale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Table1].[MONTH]">
  <pivotTables>
    <pivotTable tabId="5" name="PivotTable11"/>
    <pivotTable tabId="5" name="PivotTable12"/>
    <pivotTable tabId="5" name="PivotTable9"/>
    <pivotTable tabId="5" name="PivotTable2"/>
    <pivotTable tabId="5" name="PivotTable3"/>
    <pivotTable tabId="5" name="PivotTable4"/>
  </pivotTables>
  <data>
    <olap pivotCacheId="720485885">
      <levels count="2">
        <level uniqueName="[Table1].[MONTH].[(All)]" sourceCaption="(All)" count="0"/>
        <level uniqueName="[Table1].[MONTH].[MONTH]" sourceCaption="MONTH" count="4">
          <ranges>
            <range startItem="0">
              <i n="[Table1].[MONTH].&amp;[Apr]" c="Apr"/>
              <i n="[Table1].[MONTH].&amp;[Feb]" c="Feb"/>
              <i n="[Table1].[MONTH].&amp;[Jan]" c="Jan"/>
              <i n="[Table1].[MONTH].&amp;[Mar]" c="Mar"/>
            </range>
          </ranges>
        </level>
      </levels>
      <selections count="1">
        <selection n="[Table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Table1].[Category]">
  <pivotTables>
    <pivotTable tabId="5" name="PivotTable11"/>
    <pivotTable tabId="5" name="PivotTable12"/>
    <pivotTable tabId="5" name="PivotTable2"/>
    <pivotTable tabId="5" name="PivotTable3"/>
    <pivotTable tabId="5" name="PivotTable4"/>
    <pivotTable tabId="5" name="PivotTable9"/>
  </pivotTables>
  <data>
    <olap pivotCacheId="720485885">
      <levels count="2">
        <level uniqueName="[Table1].[Category].[(All)]" sourceCaption="(All)" count="0"/>
        <level uniqueName="[Table1].[Category].[Category]" sourceCaption="Category" count="5">
          <ranges>
            <range startItem="0">
              <i n="[Table1].[Category].&amp;[Accessories]" c="Accessories"/>
              <i n="[Table1].[Category].&amp;[Clothing]" c="Clothing"/>
              <i n="[Table1].[Category].&amp;[Electronics]" c="Electronics"/>
              <i n="[Table1].[Category].&amp;[Footwear]" c="Footwear"/>
              <i n="[Table1].[Category].&amp;[Personal Care]" c="Personal Care"/>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Table1].[Region]">
  <pivotTables>
    <pivotTable tabId="5" name="PivotTable9"/>
    <pivotTable tabId="5" name="PivotTable11"/>
    <pivotTable tabId="5" name="PivotTable12"/>
    <pivotTable tabId="5" name="PivotTable2"/>
    <pivotTable tabId="5" name="PivotTable3"/>
    <pivotTable tabId="5" name="PivotTable4"/>
  </pivotTables>
  <data>
    <olap pivotCacheId="720485885">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level="1" style="Slicer Style 3" rowHeight="241300"/>
  <slicer name="Category" cache="Slicer_Category" caption="Category" level="1" style="Slicer Style 3" rowHeight="241300"/>
  <slicer name="Region" cache="Slicer_Region" caption="Region" level="1" style="Slicer Style 3" rowHeight="241300"/>
</slicers>
</file>

<file path=xl/tables/table1.xml><?xml version="1.0" encoding="utf-8"?>
<table xmlns="http://schemas.openxmlformats.org/spreadsheetml/2006/main" id="1" name="Table1" displayName="Table1" ref="A1:P100" totalsRowShown="0">
  <autoFilter ref="A1:P100"/>
  <tableColumns count="16">
    <tableColumn id="1" name="Order ID"/>
    <tableColumn id="2" name="Order Date"/>
    <tableColumn id="3" name="Product Name"/>
    <tableColumn id="4" name="Category"/>
    <tableColumn id="5" name="Subcategory"/>
    <tableColumn id="6" name="Region"/>
    <tableColumn id="7" name="Quantity"/>
    <tableColumn id="8" name="Selling Price"/>
    <tableColumn id="9" name="Cost Price"/>
    <tableColumn id="10" name="Discount (%)"/>
    <tableColumn id="11" name="Total Sales"/>
    <tableColumn id="12" name="Profit"/>
    <tableColumn id="13" name="Payment Mode"/>
    <tableColumn id="14" name="Order Status"/>
    <tableColumn id="15" name="YEAR" dataDxfId="1">
      <calculatedColumnFormula>YEAR(Table1[[#This Row],[Order Date]])</calculatedColumnFormula>
    </tableColumn>
    <tableColumn id="16" name="MONTH" dataDxfId="0">
      <calculatedColumnFormula>TEXT(Table1[[#This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5"/>
  <sheetViews>
    <sheetView workbookViewId="0">
      <selection activeCell="K6" sqref="K6"/>
    </sheetView>
  </sheetViews>
  <sheetFormatPr defaultRowHeight="14.4" x14ac:dyDescent="0.3"/>
  <cols>
    <col min="4" max="4" width="12.33203125" bestFit="1" customWidth="1"/>
    <col min="5" max="6" width="11.77734375" bestFit="1" customWidth="1"/>
    <col min="7" max="7" width="12.33203125" bestFit="1" customWidth="1"/>
    <col min="8" max="8" width="16.109375" bestFit="1" customWidth="1"/>
    <col min="10" max="10" width="12.33203125" bestFit="1" customWidth="1"/>
    <col min="11" max="11" width="16.109375" bestFit="1" customWidth="1"/>
    <col min="13" max="13" width="12.33203125" bestFit="1" customWidth="1"/>
    <col min="14" max="15" width="17.77734375" bestFit="1" customWidth="1"/>
  </cols>
  <sheetData>
    <row r="3" spans="1:14" x14ac:dyDescent="0.35">
      <c r="A3" s="1"/>
      <c r="B3" s="2"/>
      <c r="C3" s="3"/>
    </row>
    <row r="4" spans="1:14" x14ac:dyDescent="0.35">
      <c r="A4" s="4"/>
      <c r="B4" s="5"/>
      <c r="C4" s="6"/>
      <c r="M4" s="10" t="s">
        <v>208</v>
      </c>
      <c r="N4" t="s">
        <v>211</v>
      </c>
    </row>
    <row r="5" spans="1:14" x14ac:dyDescent="0.35">
      <c r="A5" s="4"/>
      <c r="B5" s="5"/>
      <c r="C5" s="6"/>
      <c r="M5" s="11" t="s">
        <v>19</v>
      </c>
      <c r="N5" s="12">
        <v>2157522.35</v>
      </c>
    </row>
    <row r="6" spans="1:14" x14ac:dyDescent="0.35">
      <c r="A6" s="4"/>
      <c r="B6" s="5"/>
      <c r="C6" s="6"/>
      <c r="M6" s="11" t="s">
        <v>31</v>
      </c>
      <c r="N6" s="12">
        <v>1392309.25</v>
      </c>
    </row>
    <row r="7" spans="1:14" x14ac:dyDescent="0.35">
      <c r="A7" s="4"/>
      <c r="B7" s="5"/>
      <c r="C7" s="6"/>
      <c r="D7" s="10" t="s">
        <v>208</v>
      </c>
      <c r="E7" t="s">
        <v>212</v>
      </c>
      <c r="M7" s="11" t="s">
        <v>27</v>
      </c>
      <c r="N7" s="12">
        <v>1894033.55</v>
      </c>
    </row>
    <row r="8" spans="1:14" x14ac:dyDescent="0.35">
      <c r="A8" s="4"/>
      <c r="B8" s="5"/>
      <c r="C8" s="6"/>
      <c r="D8" s="11" t="s">
        <v>52</v>
      </c>
      <c r="E8" s="12">
        <v>36</v>
      </c>
      <c r="M8" s="11" t="s">
        <v>51</v>
      </c>
      <c r="N8" s="12">
        <v>1736698.9</v>
      </c>
    </row>
    <row r="9" spans="1:14" x14ac:dyDescent="0.35">
      <c r="A9" s="4"/>
      <c r="B9" s="5"/>
      <c r="C9" s="6"/>
      <c r="D9" s="11" t="s">
        <v>21</v>
      </c>
      <c r="E9" s="12">
        <v>29</v>
      </c>
      <c r="M9" s="11" t="s">
        <v>207</v>
      </c>
      <c r="N9" s="12">
        <v>7180564.0499999998</v>
      </c>
    </row>
    <row r="10" spans="1:14" x14ac:dyDescent="0.35">
      <c r="A10" s="4"/>
      <c r="B10" s="5"/>
      <c r="C10" s="6"/>
      <c r="D10" s="11" t="s">
        <v>33</v>
      </c>
      <c r="E10" s="12">
        <v>35</v>
      </c>
      <c r="G10" s="10" t="s">
        <v>208</v>
      </c>
      <c r="H10" t="s">
        <v>211</v>
      </c>
    </row>
    <row r="11" spans="1:14" x14ac:dyDescent="0.35">
      <c r="A11" s="4"/>
      <c r="B11" s="5"/>
      <c r="C11" s="6"/>
      <c r="D11" s="11" t="s">
        <v>207</v>
      </c>
      <c r="E11" s="12">
        <v>100</v>
      </c>
      <c r="G11" s="11" t="s">
        <v>67</v>
      </c>
      <c r="H11" s="12">
        <v>550334.6</v>
      </c>
      <c r="J11" s="10" t="s">
        <v>208</v>
      </c>
      <c r="K11" t="s">
        <v>211</v>
      </c>
    </row>
    <row r="12" spans="1:14" x14ac:dyDescent="0.35">
      <c r="A12" s="4"/>
      <c r="B12" s="5"/>
      <c r="C12" s="6"/>
      <c r="G12" s="11" t="s">
        <v>44</v>
      </c>
      <c r="H12" s="12">
        <v>556103.35</v>
      </c>
      <c r="J12" s="11" t="s">
        <v>213</v>
      </c>
      <c r="K12" s="12">
        <v>68217.600000000006</v>
      </c>
    </row>
    <row r="13" spans="1:14" x14ac:dyDescent="0.35">
      <c r="A13" s="4"/>
      <c r="B13" s="5"/>
      <c r="C13" s="6"/>
      <c r="G13" s="11" t="s">
        <v>16</v>
      </c>
      <c r="H13" s="12">
        <v>755178</v>
      </c>
      <c r="J13" s="11" t="s">
        <v>214</v>
      </c>
      <c r="K13" s="12">
        <v>2613787.25</v>
      </c>
    </row>
    <row r="14" spans="1:14" x14ac:dyDescent="0.35">
      <c r="A14" s="4"/>
      <c r="B14" s="5"/>
      <c r="C14" s="6"/>
      <c r="G14" s="11" t="s">
        <v>49</v>
      </c>
      <c r="H14" s="12">
        <v>719324.4</v>
      </c>
      <c r="J14" s="11" t="s">
        <v>215</v>
      </c>
      <c r="K14" s="12">
        <v>2860493.8</v>
      </c>
      <c r="M14" s="10" t="s">
        <v>208</v>
      </c>
      <c r="N14" t="s">
        <v>218</v>
      </c>
    </row>
    <row r="15" spans="1:14" x14ac:dyDescent="0.35">
      <c r="A15" s="4"/>
      <c r="B15" s="5"/>
      <c r="C15" s="6"/>
      <c r="G15" s="11" t="s">
        <v>61</v>
      </c>
      <c r="H15" s="12">
        <v>929066.75</v>
      </c>
      <c r="J15" s="11" t="s">
        <v>216</v>
      </c>
      <c r="K15" s="12">
        <v>1638065.4</v>
      </c>
      <c r="M15" s="11" t="s">
        <v>67</v>
      </c>
      <c r="N15" s="12">
        <v>40</v>
      </c>
    </row>
    <row r="16" spans="1:14" x14ac:dyDescent="0.35">
      <c r="A16" s="4"/>
      <c r="B16" s="5"/>
      <c r="C16" s="6"/>
      <c r="D16" s="10" t="s">
        <v>208</v>
      </c>
      <c r="E16" t="s">
        <v>217</v>
      </c>
      <c r="G16" s="11" t="s">
        <v>81</v>
      </c>
      <c r="H16" s="12">
        <v>576193.69999999995</v>
      </c>
      <c r="J16" s="11" t="s">
        <v>207</v>
      </c>
      <c r="K16" s="12">
        <v>7180564.0499999998</v>
      </c>
      <c r="M16" s="11" t="s">
        <v>44</v>
      </c>
      <c r="N16" s="12">
        <v>135</v>
      </c>
    </row>
    <row r="17" spans="1:14" x14ac:dyDescent="0.35">
      <c r="A17" s="4"/>
      <c r="B17" s="5"/>
      <c r="C17" s="6"/>
      <c r="D17" s="11" t="s">
        <v>19</v>
      </c>
      <c r="E17" s="12">
        <v>685034</v>
      </c>
      <c r="G17" s="11" t="s">
        <v>36</v>
      </c>
      <c r="H17" s="12">
        <v>1008292.8</v>
      </c>
      <c r="M17" s="11" t="s">
        <v>16</v>
      </c>
      <c r="N17" s="12">
        <v>150</v>
      </c>
    </row>
    <row r="18" spans="1:14" x14ac:dyDescent="0.3">
      <c r="A18" s="4"/>
      <c r="B18" s="5"/>
      <c r="C18" s="6"/>
      <c r="D18" s="11" t="s">
        <v>31</v>
      </c>
      <c r="E18" s="12">
        <v>400185</v>
      </c>
      <c r="G18" s="11" t="s">
        <v>24</v>
      </c>
      <c r="H18" s="12">
        <v>1239805.8999999999</v>
      </c>
      <c r="K18">
        <f>SUM(K12:K15)</f>
        <v>7180564.0500000007</v>
      </c>
      <c r="M18" s="11" t="s">
        <v>49</v>
      </c>
      <c r="N18" s="12">
        <v>90</v>
      </c>
    </row>
    <row r="19" spans="1:14" x14ac:dyDescent="0.3">
      <c r="A19" s="4"/>
      <c r="B19" s="5"/>
      <c r="C19" s="6"/>
      <c r="D19" s="11" t="s">
        <v>27</v>
      </c>
      <c r="E19" s="12">
        <v>570436</v>
      </c>
      <c r="G19" s="11" t="s">
        <v>71</v>
      </c>
      <c r="H19" s="12">
        <v>603542.1</v>
      </c>
      <c r="M19" s="11" t="s">
        <v>61</v>
      </c>
      <c r="N19" s="12">
        <v>110</v>
      </c>
    </row>
    <row r="20" spans="1:14" x14ac:dyDescent="0.3">
      <c r="A20" s="7"/>
      <c r="B20" s="8"/>
      <c r="C20" s="9"/>
      <c r="D20" s="11" t="s">
        <v>51</v>
      </c>
      <c r="E20" s="12">
        <v>555894</v>
      </c>
      <c r="G20" s="11" t="s">
        <v>57</v>
      </c>
      <c r="H20" s="12">
        <v>242722.45</v>
      </c>
      <c r="M20" s="11" t="s">
        <v>81</v>
      </c>
      <c r="N20" s="12">
        <v>125</v>
      </c>
    </row>
    <row r="21" spans="1:14" x14ac:dyDescent="0.3">
      <c r="D21" s="11" t="s">
        <v>207</v>
      </c>
      <c r="E21" s="12">
        <v>2211549</v>
      </c>
      <c r="G21" s="11" t="s">
        <v>207</v>
      </c>
      <c r="H21" s="12">
        <v>7180564.0499999998</v>
      </c>
      <c r="M21" s="11" t="s">
        <v>36</v>
      </c>
      <c r="N21" s="12">
        <v>120</v>
      </c>
    </row>
    <row r="22" spans="1:14" x14ac:dyDescent="0.3">
      <c r="M22" s="11" t="s">
        <v>24</v>
      </c>
      <c r="N22" s="12">
        <v>135</v>
      </c>
    </row>
    <row r="23" spans="1:14" x14ac:dyDescent="0.3">
      <c r="D23">
        <f>SUM(E17:E20)</f>
        <v>2211549</v>
      </c>
      <c r="M23" s="11" t="s">
        <v>71</v>
      </c>
      <c r="N23" s="12">
        <v>60</v>
      </c>
    </row>
    <row r="24" spans="1:14" x14ac:dyDescent="0.3">
      <c r="M24" s="11" t="s">
        <v>57</v>
      </c>
      <c r="N24" s="12">
        <v>110</v>
      </c>
    </row>
    <row r="25" spans="1:14" x14ac:dyDescent="0.3">
      <c r="M25" s="11" t="s">
        <v>207</v>
      </c>
      <c r="N25" s="12">
        <v>1075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topLeftCell="C70" workbookViewId="0">
      <selection activeCell="R73" sqref="R73"/>
    </sheetView>
  </sheetViews>
  <sheetFormatPr defaultRowHeight="14.4" x14ac:dyDescent="0.3"/>
  <cols>
    <col min="1" max="1" width="10" customWidth="1"/>
    <col min="2" max="2" width="12.21875" customWidth="1"/>
    <col min="3" max="3" width="14.77734375" customWidth="1"/>
    <col min="4" max="4" width="10.21875" customWidth="1"/>
    <col min="5" max="5" width="13.109375" customWidth="1"/>
    <col min="7" max="7" width="10.21875" customWidth="1"/>
    <col min="8" max="8" width="12.6640625" customWidth="1"/>
    <col min="9" max="9" width="11.109375" customWidth="1"/>
    <col min="10" max="10" width="13.33203125" customWidth="1"/>
    <col min="11" max="11" width="11.77734375" customWidth="1"/>
    <col min="12" max="12" width="7.5546875" customWidth="1"/>
    <col min="13" max="13" width="15.6640625" customWidth="1"/>
    <col min="14" max="14" width="13.44140625" customWidth="1"/>
    <col min="16" max="16" width="9.88671875" bestFit="1" customWidth="1"/>
  </cols>
  <sheetData>
    <row r="1" spans="1:16" ht="14.55" x14ac:dyDescent="0.35">
      <c r="A1" t="s">
        <v>0</v>
      </c>
      <c r="B1" t="s">
        <v>1</v>
      </c>
      <c r="C1" t="s">
        <v>2</v>
      </c>
      <c r="D1" t="s">
        <v>3</v>
      </c>
      <c r="E1" t="s">
        <v>4</v>
      </c>
      <c r="F1" t="s">
        <v>5</v>
      </c>
      <c r="G1" t="s">
        <v>6</v>
      </c>
      <c r="H1" t="s">
        <v>7</v>
      </c>
      <c r="I1" t="s">
        <v>8</v>
      </c>
      <c r="J1" t="s">
        <v>9</v>
      </c>
      <c r="K1" t="s">
        <v>10</v>
      </c>
      <c r="L1" t="s">
        <v>11</v>
      </c>
      <c r="M1" t="s">
        <v>12</v>
      </c>
      <c r="N1" t="s">
        <v>13</v>
      </c>
      <c r="O1" t="s">
        <v>209</v>
      </c>
      <c r="P1" t="s">
        <v>210</v>
      </c>
    </row>
    <row r="2" spans="1:16" ht="14.55" x14ac:dyDescent="0.35">
      <c r="A2" t="s">
        <v>14</v>
      </c>
      <c r="B2" t="s">
        <v>15</v>
      </c>
      <c r="C2" t="s">
        <v>16</v>
      </c>
      <c r="D2" t="s">
        <v>17</v>
      </c>
      <c r="E2" t="s">
        <v>18</v>
      </c>
      <c r="F2" t="s">
        <v>19</v>
      </c>
      <c r="G2">
        <v>4</v>
      </c>
      <c r="H2">
        <v>5600</v>
      </c>
      <c r="I2">
        <v>3864</v>
      </c>
      <c r="J2">
        <v>0</v>
      </c>
      <c r="K2">
        <v>22400</v>
      </c>
      <c r="L2">
        <v>6944</v>
      </c>
      <c r="M2" t="s">
        <v>20</v>
      </c>
      <c r="N2" t="s">
        <v>21</v>
      </c>
      <c r="O2">
        <f>YEAR(Table1[[#This Row],[Order Date]])</f>
        <v>2026</v>
      </c>
      <c r="P2" t="str">
        <f>TEXT(Table1[[#This Row],[Order Date]],"MMM")</f>
        <v>Feb</v>
      </c>
    </row>
    <row r="3" spans="1:16" ht="14.55" x14ac:dyDescent="0.35">
      <c r="A3" t="s">
        <v>22</v>
      </c>
      <c r="B3" t="s">
        <v>23</v>
      </c>
      <c r="C3" t="s">
        <v>24</v>
      </c>
      <c r="D3" t="s">
        <v>25</v>
      </c>
      <c r="E3" t="s">
        <v>26</v>
      </c>
      <c r="F3" t="s">
        <v>27</v>
      </c>
      <c r="G3">
        <v>1</v>
      </c>
      <c r="H3">
        <v>23142</v>
      </c>
      <c r="I3">
        <v>18745</v>
      </c>
      <c r="J3">
        <v>15</v>
      </c>
      <c r="K3">
        <v>19670.7</v>
      </c>
      <c r="L3">
        <v>4397</v>
      </c>
      <c r="M3" t="s">
        <v>28</v>
      </c>
      <c r="N3" t="s">
        <v>21</v>
      </c>
      <c r="O3">
        <f>YEAR(Table1[[#This Row],[Order Date]])</f>
        <v>2026</v>
      </c>
      <c r="P3" t="str">
        <f>TEXT(Table1[[#This Row],[Order Date]],"MMM")</f>
        <v>Jan</v>
      </c>
    </row>
    <row r="4" spans="1:16" ht="14.55" x14ac:dyDescent="0.35">
      <c r="A4" t="s">
        <v>29</v>
      </c>
      <c r="B4" t="s">
        <v>30</v>
      </c>
      <c r="C4" t="s">
        <v>24</v>
      </c>
      <c r="D4" t="s">
        <v>25</v>
      </c>
      <c r="E4" t="s">
        <v>26</v>
      </c>
      <c r="F4" t="s">
        <v>31</v>
      </c>
      <c r="G4">
        <v>4</v>
      </c>
      <c r="H4">
        <v>40579</v>
      </c>
      <c r="I4">
        <v>32463</v>
      </c>
      <c r="J4">
        <v>20</v>
      </c>
      <c r="K4">
        <v>129852.8</v>
      </c>
      <c r="L4">
        <v>32464</v>
      </c>
      <c r="M4" t="s">
        <v>32</v>
      </c>
      <c r="N4" t="s">
        <v>33</v>
      </c>
      <c r="O4">
        <f>YEAR(Table1[[#This Row],[Order Date]])</f>
        <v>2026</v>
      </c>
      <c r="P4" t="str">
        <f>TEXT(Table1[[#This Row],[Order Date]],"MMM")</f>
        <v>Feb</v>
      </c>
    </row>
    <row r="5" spans="1:16" ht="14.55" x14ac:dyDescent="0.35">
      <c r="A5" t="s">
        <v>34</v>
      </c>
      <c r="B5" t="s">
        <v>35</v>
      </c>
      <c r="C5" t="s">
        <v>36</v>
      </c>
      <c r="D5" t="s">
        <v>37</v>
      </c>
      <c r="E5" t="s">
        <v>38</v>
      </c>
      <c r="F5" t="s">
        <v>19</v>
      </c>
      <c r="G5">
        <v>3</v>
      </c>
      <c r="H5">
        <v>29847</v>
      </c>
      <c r="I5">
        <v>23877</v>
      </c>
      <c r="J5">
        <v>15</v>
      </c>
      <c r="K5">
        <v>76109.850000000006</v>
      </c>
      <c r="L5">
        <v>17910</v>
      </c>
      <c r="M5" t="s">
        <v>39</v>
      </c>
      <c r="N5" t="s">
        <v>33</v>
      </c>
      <c r="O5">
        <f>YEAR(Table1[[#This Row],[Order Date]])</f>
        <v>2026</v>
      </c>
      <c r="P5" t="str">
        <f>TEXT(Table1[[#This Row],[Order Date]],"MMM")</f>
        <v>Feb</v>
      </c>
    </row>
    <row r="6" spans="1:16" ht="14.55" x14ac:dyDescent="0.35">
      <c r="A6" t="s">
        <v>40</v>
      </c>
      <c r="B6" t="s">
        <v>41</v>
      </c>
      <c r="C6" t="s">
        <v>24</v>
      </c>
      <c r="D6" t="s">
        <v>25</v>
      </c>
      <c r="E6" t="s">
        <v>26</v>
      </c>
      <c r="F6" t="s">
        <v>19</v>
      </c>
      <c r="G6">
        <v>4</v>
      </c>
      <c r="H6">
        <v>36812</v>
      </c>
      <c r="I6">
        <v>27977</v>
      </c>
      <c r="J6">
        <v>0</v>
      </c>
      <c r="K6">
        <v>147248</v>
      </c>
      <c r="L6">
        <v>35340</v>
      </c>
      <c r="M6" t="s">
        <v>28</v>
      </c>
      <c r="N6" t="s">
        <v>21</v>
      </c>
      <c r="O6">
        <f>YEAR(Table1[[#This Row],[Order Date]])</f>
        <v>2026</v>
      </c>
      <c r="P6" t="str">
        <f>TEXT(Table1[[#This Row],[Order Date]],"MMM")</f>
        <v>Mar</v>
      </c>
    </row>
    <row r="7" spans="1:16" ht="14.55" x14ac:dyDescent="0.35">
      <c r="A7" t="s">
        <v>42</v>
      </c>
      <c r="B7" t="s">
        <v>43</v>
      </c>
      <c r="C7" t="s">
        <v>44</v>
      </c>
      <c r="D7" t="s">
        <v>45</v>
      </c>
      <c r="E7" t="s">
        <v>46</v>
      </c>
      <c r="F7" t="s">
        <v>19</v>
      </c>
      <c r="G7">
        <v>2</v>
      </c>
      <c r="H7">
        <v>29670</v>
      </c>
      <c r="I7">
        <v>23439</v>
      </c>
      <c r="J7">
        <v>10</v>
      </c>
      <c r="K7">
        <v>53406</v>
      </c>
      <c r="L7">
        <v>12462</v>
      </c>
      <c r="M7" t="s">
        <v>39</v>
      </c>
      <c r="N7" t="s">
        <v>33</v>
      </c>
      <c r="O7">
        <f>YEAR(Table1[[#This Row],[Order Date]])</f>
        <v>2026</v>
      </c>
      <c r="P7" t="str">
        <f>TEXT(Table1[[#This Row],[Order Date]],"MMM")</f>
        <v>Jan</v>
      </c>
    </row>
    <row r="8" spans="1:16" ht="14.55" x14ac:dyDescent="0.35">
      <c r="A8" t="s">
        <v>47</v>
      </c>
      <c r="B8" t="s">
        <v>48</v>
      </c>
      <c r="C8" t="s">
        <v>49</v>
      </c>
      <c r="D8" t="s">
        <v>45</v>
      </c>
      <c r="E8" t="s">
        <v>50</v>
      </c>
      <c r="F8" t="s">
        <v>51</v>
      </c>
      <c r="G8">
        <v>3</v>
      </c>
      <c r="H8">
        <v>4933</v>
      </c>
      <c r="I8">
        <v>3403</v>
      </c>
      <c r="J8">
        <v>0</v>
      </c>
      <c r="K8">
        <v>14799</v>
      </c>
      <c r="L8">
        <v>4590</v>
      </c>
      <c r="M8" t="s">
        <v>28</v>
      </c>
      <c r="N8" t="s">
        <v>52</v>
      </c>
      <c r="O8">
        <f>YEAR(Table1[[#This Row],[Order Date]])</f>
        <v>2026</v>
      </c>
      <c r="P8" t="str">
        <f>TEXT(Table1[[#This Row],[Order Date]],"MMM")</f>
        <v>Feb</v>
      </c>
    </row>
    <row r="9" spans="1:16" ht="14.55" x14ac:dyDescent="0.35">
      <c r="A9" t="s">
        <v>53</v>
      </c>
      <c r="B9" t="s">
        <v>54</v>
      </c>
      <c r="C9" t="s">
        <v>36</v>
      </c>
      <c r="D9" t="s">
        <v>37</v>
      </c>
      <c r="E9" t="s">
        <v>38</v>
      </c>
      <c r="F9" t="s">
        <v>51</v>
      </c>
      <c r="G9">
        <v>4</v>
      </c>
      <c r="H9">
        <v>35918</v>
      </c>
      <c r="I9">
        <v>24783</v>
      </c>
      <c r="J9">
        <v>0</v>
      </c>
      <c r="K9">
        <v>143672</v>
      </c>
      <c r="L9">
        <v>44540</v>
      </c>
      <c r="M9" t="s">
        <v>28</v>
      </c>
      <c r="N9" t="s">
        <v>52</v>
      </c>
      <c r="O9">
        <f>YEAR(Table1[[#This Row],[Order Date]])</f>
        <v>2026</v>
      </c>
      <c r="P9" t="str">
        <f>TEXT(Table1[[#This Row],[Order Date]],"MMM")</f>
        <v>Feb</v>
      </c>
    </row>
    <row r="10" spans="1:16" ht="14.55" x14ac:dyDescent="0.35">
      <c r="A10" t="s">
        <v>55</v>
      </c>
      <c r="B10" t="s">
        <v>56</v>
      </c>
      <c r="C10" t="s">
        <v>57</v>
      </c>
      <c r="D10" t="s">
        <v>46</v>
      </c>
      <c r="E10" t="s">
        <v>58</v>
      </c>
      <c r="F10" t="s">
        <v>31</v>
      </c>
      <c r="G10">
        <v>5</v>
      </c>
      <c r="H10">
        <v>16230</v>
      </c>
      <c r="I10">
        <v>11847</v>
      </c>
      <c r="J10">
        <v>20</v>
      </c>
      <c r="K10">
        <v>64920</v>
      </c>
      <c r="L10">
        <v>21915</v>
      </c>
      <c r="M10" t="s">
        <v>32</v>
      </c>
      <c r="N10" t="s">
        <v>33</v>
      </c>
      <c r="O10">
        <f>YEAR(Table1[[#This Row],[Order Date]])</f>
        <v>2026</v>
      </c>
      <c r="P10" t="str">
        <f>TEXT(Table1[[#This Row],[Order Date]],"MMM")</f>
        <v>Jan</v>
      </c>
    </row>
    <row r="11" spans="1:16" ht="14.55" x14ac:dyDescent="0.35">
      <c r="A11" t="s">
        <v>59</v>
      </c>
      <c r="B11" t="s">
        <v>60</v>
      </c>
      <c r="C11" t="s">
        <v>61</v>
      </c>
      <c r="D11" t="s">
        <v>45</v>
      </c>
      <c r="E11" t="s">
        <v>62</v>
      </c>
      <c r="F11" t="s">
        <v>19</v>
      </c>
      <c r="G11">
        <v>1</v>
      </c>
      <c r="H11">
        <v>41103</v>
      </c>
      <c r="I11">
        <v>29594</v>
      </c>
      <c r="J11">
        <v>10</v>
      </c>
      <c r="K11">
        <v>36992.699999999997</v>
      </c>
      <c r="L11">
        <v>11509</v>
      </c>
      <c r="M11" t="s">
        <v>28</v>
      </c>
      <c r="N11" t="s">
        <v>52</v>
      </c>
      <c r="O11">
        <f>YEAR(Table1[[#This Row],[Order Date]])</f>
        <v>2026</v>
      </c>
      <c r="P11" t="str">
        <f>TEXT(Table1[[#This Row],[Order Date]],"MMM")</f>
        <v>Jan</v>
      </c>
    </row>
    <row r="12" spans="1:16" ht="14.55" x14ac:dyDescent="0.35">
      <c r="A12" t="s">
        <v>63</v>
      </c>
      <c r="B12" t="s">
        <v>64</v>
      </c>
      <c r="C12" t="s">
        <v>36</v>
      </c>
      <c r="D12" t="s">
        <v>37</v>
      </c>
      <c r="E12" t="s">
        <v>38</v>
      </c>
      <c r="F12" t="s">
        <v>31</v>
      </c>
      <c r="G12">
        <v>2</v>
      </c>
      <c r="H12">
        <v>14379</v>
      </c>
      <c r="I12">
        <v>9777</v>
      </c>
      <c r="J12">
        <v>15</v>
      </c>
      <c r="K12">
        <v>24444.3</v>
      </c>
      <c r="L12">
        <v>9204</v>
      </c>
      <c r="M12" t="s">
        <v>39</v>
      </c>
      <c r="N12" t="s">
        <v>33</v>
      </c>
      <c r="O12">
        <f>YEAR(Table1[[#This Row],[Order Date]])</f>
        <v>2026</v>
      </c>
      <c r="P12" t="str">
        <f>TEXT(Table1[[#This Row],[Order Date]],"MMM")</f>
        <v>Feb</v>
      </c>
    </row>
    <row r="13" spans="1:16" ht="14.55" x14ac:dyDescent="0.35">
      <c r="A13" t="s">
        <v>65</v>
      </c>
      <c r="B13" t="s">
        <v>66</v>
      </c>
      <c r="C13" t="s">
        <v>67</v>
      </c>
      <c r="D13" t="s">
        <v>46</v>
      </c>
      <c r="E13" t="s">
        <v>68</v>
      </c>
      <c r="F13" t="s">
        <v>19</v>
      </c>
      <c r="G13">
        <v>2</v>
      </c>
      <c r="H13">
        <v>27390</v>
      </c>
      <c r="I13">
        <v>20542</v>
      </c>
      <c r="J13">
        <v>0</v>
      </c>
      <c r="K13">
        <v>54780</v>
      </c>
      <c r="L13">
        <v>13696</v>
      </c>
      <c r="M13" t="s">
        <v>20</v>
      </c>
      <c r="N13" t="s">
        <v>52</v>
      </c>
      <c r="O13">
        <f>YEAR(Table1[[#This Row],[Order Date]])</f>
        <v>2026</v>
      </c>
      <c r="P13" t="str">
        <f>TEXT(Table1[[#This Row],[Order Date]],"MMM")</f>
        <v>Feb</v>
      </c>
    </row>
    <row r="14" spans="1:16" ht="14.55" x14ac:dyDescent="0.35">
      <c r="A14" t="s">
        <v>69</v>
      </c>
      <c r="B14" t="s">
        <v>70</v>
      </c>
      <c r="C14" t="s">
        <v>71</v>
      </c>
      <c r="D14" t="s">
        <v>17</v>
      </c>
      <c r="E14" t="s">
        <v>72</v>
      </c>
      <c r="F14" t="s">
        <v>27</v>
      </c>
      <c r="G14">
        <v>5</v>
      </c>
      <c r="H14">
        <v>45981</v>
      </c>
      <c r="I14">
        <v>28048</v>
      </c>
      <c r="J14">
        <v>15</v>
      </c>
      <c r="K14">
        <v>195419.25</v>
      </c>
      <c r="L14">
        <v>89665</v>
      </c>
      <c r="M14" t="s">
        <v>32</v>
      </c>
      <c r="N14" t="s">
        <v>33</v>
      </c>
      <c r="O14">
        <f>YEAR(Table1[[#This Row],[Order Date]])</f>
        <v>2026</v>
      </c>
      <c r="P14" t="str">
        <f>TEXT(Table1[[#This Row],[Order Date]],"MMM")</f>
        <v>Feb</v>
      </c>
    </row>
    <row r="15" spans="1:16" ht="14.55" x14ac:dyDescent="0.35">
      <c r="A15" t="s">
        <v>73</v>
      </c>
      <c r="B15" t="s">
        <v>48</v>
      </c>
      <c r="C15" t="s">
        <v>36</v>
      </c>
      <c r="D15" t="s">
        <v>37</v>
      </c>
      <c r="E15" t="s">
        <v>38</v>
      </c>
      <c r="F15" t="s">
        <v>19</v>
      </c>
      <c r="G15">
        <v>4</v>
      </c>
      <c r="H15">
        <v>44438</v>
      </c>
      <c r="I15">
        <v>27107</v>
      </c>
      <c r="J15">
        <v>15</v>
      </c>
      <c r="K15">
        <v>151089.20000000001</v>
      </c>
      <c r="L15">
        <v>69324</v>
      </c>
      <c r="M15" t="s">
        <v>28</v>
      </c>
      <c r="N15" t="s">
        <v>33</v>
      </c>
      <c r="O15">
        <f>YEAR(Table1[[#This Row],[Order Date]])</f>
        <v>2026</v>
      </c>
      <c r="P15" t="str">
        <f>TEXT(Table1[[#This Row],[Order Date]],"MMM")</f>
        <v>Feb</v>
      </c>
    </row>
    <row r="16" spans="1:16" ht="14.55" x14ac:dyDescent="0.35">
      <c r="A16" t="s">
        <v>74</v>
      </c>
      <c r="B16" t="s">
        <v>75</v>
      </c>
      <c r="C16" t="s">
        <v>57</v>
      </c>
      <c r="D16" t="s">
        <v>46</v>
      </c>
      <c r="E16" t="s">
        <v>58</v>
      </c>
      <c r="F16" t="s">
        <v>19</v>
      </c>
      <c r="G16">
        <v>2</v>
      </c>
      <c r="H16">
        <v>17703</v>
      </c>
      <c r="I16">
        <v>10621</v>
      </c>
      <c r="J16">
        <v>20</v>
      </c>
      <c r="K16">
        <v>28324.799999999999</v>
      </c>
      <c r="L16">
        <v>14164</v>
      </c>
      <c r="M16" t="s">
        <v>28</v>
      </c>
      <c r="N16" t="s">
        <v>33</v>
      </c>
      <c r="O16">
        <f>YEAR(Table1[[#This Row],[Order Date]])</f>
        <v>2026</v>
      </c>
      <c r="P16" t="str">
        <f>TEXT(Table1[[#This Row],[Order Date]],"MMM")</f>
        <v>Mar</v>
      </c>
    </row>
    <row r="17" spans="1:16" ht="14.55" x14ac:dyDescent="0.35">
      <c r="A17" t="s">
        <v>76</v>
      </c>
      <c r="B17" t="s">
        <v>15</v>
      </c>
      <c r="C17" t="s">
        <v>36</v>
      </c>
      <c r="D17" t="s">
        <v>37</v>
      </c>
      <c r="E17" t="s">
        <v>38</v>
      </c>
      <c r="F17" t="s">
        <v>19</v>
      </c>
      <c r="G17">
        <v>4</v>
      </c>
      <c r="H17">
        <v>31683</v>
      </c>
      <c r="I17">
        <v>21227</v>
      </c>
      <c r="J17">
        <v>15</v>
      </c>
      <c r="K17">
        <v>107722.2</v>
      </c>
      <c r="L17">
        <v>41824</v>
      </c>
      <c r="M17" t="s">
        <v>39</v>
      </c>
      <c r="N17" t="s">
        <v>33</v>
      </c>
      <c r="O17">
        <f>YEAR(Table1[[#This Row],[Order Date]])</f>
        <v>2026</v>
      </c>
      <c r="P17" t="str">
        <f>TEXT(Table1[[#This Row],[Order Date]],"MMM")</f>
        <v>Feb</v>
      </c>
    </row>
    <row r="18" spans="1:16" x14ac:dyDescent="0.3">
      <c r="A18" t="s">
        <v>77</v>
      </c>
      <c r="B18" t="s">
        <v>78</v>
      </c>
      <c r="C18" t="s">
        <v>44</v>
      </c>
      <c r="D18" t="s">
        <v>45</v>
      </c>
      <c r="E18" t="s">
        <v>46</v>
      </c>
      <c r="F18" t="s">
        <v>27</v>
      </c>
      <c r="G18">
        <v>3</v>
      </c>
      <c r="H18">
        <v>5032</v>
      </c>
      <c r="I18">
        <v>4025</v>
      </c>
      <c r="J18">
        <v>20</v>
      </c>
      <c r="K18">
        <v>12076.8</v>
      </c>
      <c r="L18">
        <v>3021</v>
      </c>
      <c r="M18" t="s">
        <v>32</v>
      </c>
      <c r="N18" t="s">
        <v>52</v>
      </c>
      <c r="O18">
        <f>YEAR(Table1[[#This Row],[Order Date]])</f>
        <v>2026</v>
      </c>
      <c r="P18" t="str">
        <f>TEXT(Table1[[#This Row],[Order Date]],"MMM")</f>
        <v>Feb</v>
      </c>
    </row>
    <row r="19" spans="1:16" x14ac:dyDescent="0.3">
      <c r="A19" t="s">
        <v>79</v>
      </c>
      <c r="B19" t="s">
        <v>80</v>
      </c>
      <c r="C19" t="s">
        <v>81</v>
      </c>
      <c r="D19" t="s">
        <v>37</v>
      </c>
      <c r="E19" t="s">
        <v>82</v>
      </c>
      <c r="F19" t="s">
        <v>31</v>
      </c>
      <c r="G19">
        <v>3</v>
      </c>
      <c r="H19">
        <v>48720</v>
      </c>
      <c r="I19">
        <v>36540</v>
      </c>
      <c r="J19">
        <v>10</v>
      </c>
      <c r="K19">
        <v>131544</v>
      </c>
      <c r="L19">
        <v>36540</v>
      </c>
      <c r="M19" t="s">
        <v>20</v>
      </c>
      <c r="N19" t="s">
        <v>21</v>
      </c>
      <c r="O19">
        <f>YEAR(Table1[[#This Row],[Order Date]])</f>
        <v>2026</v>
      </c>
      <c r="P19" t="str">
        <f>TEXT(Table1[[#This Row],[Order Date]],"MMM")</f>
        <v>Feb</v>
      </c>
    </row>
    <row r="20" spans="1:16" x14ac:dyDescent="0.3">
      <c r="A20" t="s">
        <v>83</v>
      </c>
      <c r="B20" t="s">
        <v>84</v>
      </c>
      <c r="C20" t="s">
        <v>44</v>
      </c>
      <c r="D20" t="s">
        <v>45</v>
      </c>
      <c r="E20" t="s">
        <v>46</v>
      </c>
      <c r="F20" t="s">
        <v>31</v>
      </c>
      <c r="G20">
        <v>3</v>
      </c>
      <c r="H20">
        <v>23448</v>
      </c>
      <c r="I20">
        <v>15944</v>
      </c>
      <c r="J20">
        <v>20</v>
      </c>
      <c r="K20">
        <v>56275.199999999997</v>
      </c>
      <c r="L20">
        <v>22512</v>
      </c>
      <c r="M20" t="s">
        <v>20</v>
      </c>
      <c r="N20" t="s">
        <v>33</v>
      </c>
      <c r="O20">
        <f>YEAR(Table1[[#This Row],[Order Date]])</f>
        <v>2026</v>
      </c>
      <c r="P20" t="str">
        <f>TEXT(Table1[[#This Row],[Order Date]],"MMM")</f>
        <v>Feb</v>
      </c>
    </row>
    <row r="21" spans="1:16" x14ac:dyDescent="0.3">
      <c r="A21" t="s">
        <v>85</v>
      </c>
      <c r="B21" t="s">
        <v>86</v>
      </c>
      <c r="C21" t="s">
        <v>44</v>
      </c>
      <c r="D21" t="s">
        <v>45</v>
      </c>
      <c r="E21" t="s">
        <v>46</v>
      </c>
      <c r="F21" t="s">
        <v>27</v>
      </c>
      <c r="G21">
        <v>4</v>
      </c>
      <c r="H21">
        <v>21532</v>
      </c>
      <c r="I21">
        <v>15287</v>
      </c>
      <c r="J21">
        <v>20</v>
      </c>
      <c r="K21">
        <v>68902.399999999994</v>
      </c>
      <c r="L21">
        <v>24980</v>
      </c>
      <c r="M21" t="s">
        <v>32</v>
      </c>
      <c r="N21" t="s">
        <v>52</v>
      </c>
      <c r="O21">
        <f>YEAR(Table1[[#This Row],[Order Date]])</f>
        <v>2026</v>
      </c>
      <c r="P21" t="str">
        <f>TEXT(Table1[[#This Row],[Order Date]],"MMM")</f>
        <v>Jan</v>
      </c>
    </row>
    <row r="22" spans="1:16" x14ac:dyDescent="0.3">
      <c r="A22" t="s">
        <v>87</v>
      </c>
      <c r="B22" t="s">
        <v>88</v>
      </c>
      <c r="C22" t="s">
        <v>24</v>
      </c>
      <c r="D22" t="s">
        <v>25</v>
      </c>
      <c r="E22" t="s">
        <v>26</v>
      </c>
      <c r="F22" t="s">
        <v>27</v>
      </c>
      <c r="G22">
        <v>4</v>
      </c>
      <c r="H22">
        <v>2502</v>
      </c>
      <c r="I22">
        <v>1901</v>
      </c>
      <c r="J22">
        <v>0</v>
      </c>
      <c r="K22">
        <v>10008</v>
      </c>
      <c r="L22">
        <v>2404</v>
      </c>
      <c r="M22" t="s">
        <v>32</v>
      </c>
      <c r="N22" t="s">
        <v>21</v>
      </c>
      <c r="O22">
        <f>YEAR(Table1[[#This Row],[Order Date]])</f>
        <v>2026</v>
      </c>
      <c r="P22" t="str">
        <f>TEXT(Table1[[#This Row],[Order Date]],"MMM")</f>
        <v>Jan</v>
      </c>
    </row>
    <row r="23" spans="1:16" x14ac:dyDescent="0.3">
      <c r="A23" t="s">
        <v>89</v>
      </c>
      <c r="B23" t="s">
        <v>90</v>
      </c>
      <c r="C23" t="s">
        <v>71</v>
      </c>
      <c r="D23" t="s">
        <v>17</v>
      </c>
      <c r="E23" t="s">
        <v>72</v>
      </c>
      <c r="F23" t="s">
        <v>19</v>
      </c>
      <c r="G23">
        <v>3</v>
      </c>
      <c r="H23">
        <v>33036</v>
      </c>
      <c r="I23">
        <v>25107</v>
      </c>
      <c r="J23">
        <v>20</v>
      </c>
      <c r="K23">
        <v>79286.399999999994</v>
      </c>
      <c r="L23">
        <v>23787</v>
      </c>
      <c r="M23" t="s">
        <v>20</v>
      </c>
      <c r="N23" t="s">
        <v>52</v>
      </c>
      <c r="O23">
        <f>YEAR(Table1[[#This Row],[Order Date]])</f>
        <v>2026</v>
      </c>
      <c r="P23" t="str">
        <f>TEXT(Table1[[#This Row],[Order Date]],"MMM")</f>
        <v>Feb</v>
      </c>
    </row>
    <row r="24" spans="1:16" x14ac:dyDescent="0.3">
      <c r="A24" t="s">
        <v>91</v>
      </c>
      <c r="B24" t="s">
        <v>92</v>
      </c>
      <c r="C24" t="s">
        <v>24</v>
      </c>
      <c r="D24" t="s">
        <v>25</v>
      </c>
      <c r="E24" t="s">
        <v>26</v>
      </c>
      <c r="F24" t="s">
        <v>51</v>
      </c>
      <c r="G24">
        <v>2</v>
      </c>
      <c r="H24">
        <v>1783</v>
      </c>
      <c r="I24">
        <v>1479</v>
      </c>
      <c r="J24">
        <v>10</v>
      </c>
      <c r="K24">
        <v>3209.4</v>
      </c>
      <c r="L24">
        <v>608</v>
      </c>
      <c r="M24" t="s">
        <v>39</v>
      </c>
      <c r="N24" t="s">
        <v>21</v>
      </c>
      <c r="O24">
        <f>YEAR(Table1[[#This Row],[Order Date]])</f>
        <v>2026</v>
      </c>
      <c r="P24" t="str">
        <f>TEXT(Table1[[#This Row],[Order Date]],"MMM")</f>
        <v>Jan</v>
      </c>
    </row>
    <row r="25" spans="1:16" x14ac:dyDescent="0.3">
      <c r="A25" t="s">
        <v>93</v>
      </c>
      <c r="B25" t="s">
        <v>94</v>
      </c>
      <c r="C25" t="s">
        <v>24</v>
      </c>
      <c r="D25" t="s">
        <v>25</v>
      </c>
      <c r="E25" t="s">
        <v>26</v>
      </c>
      <c r="F25" t="s">
        <v>27</v>
      </c>
      <c r="G25">
        <v>5</v>
      </c>
      <c r="H25">
        <v>32983</v>
      </c>
      <c r="I25">
        <v>24407</v>
      </c>
      <c r="J25">
        <v>20</v>
      </c>
      <c r="K25">
        <v>131932</v>
      </c>
      <c r="L25">
        <v>42880</v>
      </c>
      <c r="M25" t="s">
        <v>28</v>
      </c>
      <c r="N25" t="s">
        <v>52</v>
      </c>
      <c r="O25">
        <f>YEAR(Table1[[#This Row],[Order Date]])</f>
        <v>2026</v>
      </c>
      <c r="P25" t="str">
        <f>TEXT(Table1[[#This Row],[Order Date]],"MMM")</f>
        <v>Jan</v>
      </c>
    </row>
    <row r="26" spans="1:16" x14ac:dyDescent="0.3">
      <c r="A26" t="s">
        <v>95</v>
      </c>
      <c r="B26" t="s">
        <v>96</v>
      </c>
      <c r="C26" t="s">
        <v>81</v>
      </c>
      <c r="D26" t="s">
        <v>37</v>
      </c>
      <c r="E26" t="s">
        <v>82</v>
      </c>
      <c r="F26" t="s">
        <v>51</v>
      </c>
      <c r="G26">
        <v>4</v>
      </c>
      <c r="H26">
        <v>26205</v>
      </c>
      <c r="I26">
        <v>22012</v>
      </c>
      <c r="J26">
        <v>5</v>
      </c>
      <c r="K26">
        <v>99579</v>
      </c>
      <c r="L26">
        <v>16772</v>
      </c>
      <c r="M26" t="s">
        <v>20</v>
      </c>
      <c r="N26" t="s">
        <v>52</v>
      </c>
      <c r="O26">
        <f>YEAR(Table1[[#This Row],[Order Date]])</f>
        <v>2026</v>
      </c>
      <c r="P26" t="str">
        <f>TEXT(Table1[[#This Row],[Order Date]],"MMM")</f>
        <v>Jan</v>
      </c>
    </row>
    <row r="27" spans="1:16" x14ac:dyDescent="0.3">
      <c r="A27" t="s">
        <v>97</v>
      </c>
      <c r="B27" t="s">
        <v>98</v>
      </c>
      <c r="C27" t="s">
        <v>61</v>
      </c>
      <c r="D27" t="s">
        <v>45</v>
      </c>
      <c r="E27" t="s">
        <v>62</v>
      </c>
      <c r="F27" t="s">
        <v>19</v>
      </c>
      <c r="G27">
        <v>5</v>
      </c>
      <c r="H27">
        <v>9978</v>
      </c>
      <c r="I27">
        <v>6385</v>
      </c>
      <c r="J27">
        <v>5</v>
      </c>
      <c r="K27">
        <v>47395.5</v>
      </c>
      <c r="L27">
        <v>17965</v>
      </c>
      <c r="M27" t="s">
        <v>20</v>
      </c>
      <c r="N27" t="s">
        <v>33</v>
      </c>
      <c r="O27">
        <f>YEAR(Table1[[#This Row],[Order Date]])</f>
        <v>2026</v>
      </c>
      <c r="P27" t="str">
        <f>TEXT(Table1[[#This Row],[Order Date]],"MMM")</f>
        <v>Jan</v>
      </c>
    </row>
    <row r="28" spans="1:16" x14ac:dyDescent="0.3">
      <c r="A28" t="s">
        <v>99</v>
      </c>
      <c r="B28" t="s">
        <v>100</v>
      </c>
      <c r="C28" t="s">
        <v>44</v>
      </c>
      <c r="D28" t="s">
        <v>45</v>
      </c>
      <c r="E28" t="s">
        <v>46</v>
      </c>
      <c r="F28" t="s">
        <v>27</v>
      </c>
      <c r="G28">
        <v>2</v>
      </c>
      <c r="H28">
        <v>12910</v>
      </c>
      <c r="I28">
        <v>10328</v>
      </c>
      <c r="J28">
        <v>15</v>
      </c>
      <c r="K28">
        <v>21947</v>
      </c>
      <c r="L28">
        <v>5164</v>
      </c>
      <c r="M28" t="s">
        <v>39</v>
      </c>
      <c r="N28" t="s">
        <v>21</v>
      </c>
      <c r="O28">
        <f>YEAR(Table1[[#This Row],[Order Date]])</f>
        <v>2026</v>
      </c>
      <c r="P28" t="str">
        <f>TEXT(Table1[[#This Row],[Order Date]],"MMM")</f>
        <v>Mar</v>
      </c>
    </row>
    <row r="29" spans="1:16" x14ac:dyDescent="0.3">
      <c r="A29" t="s">
        <v>101</v>
      </c>
      <c r="B29" t="s">
        <v>84</v>
      </c>
      <c r="C29" t="s">
        <v>16</v>
      </c>
      <c r="D29" t="s">
        <v>17</v>
      </c>
      <c r="E29" t="s">
        <v>18</v>
      </c>
      <c r="F29" t="s">
        <v>27</v>
      </c>
      <c r="G29">
        <v>1</v>
      </c>
      <c r="H29">
        <v>12064</v>
      </c>
      <c r="I29">
        <v>8806</v>
      </c>
      <c r="J29">
        <v>15</v>
      </c>
      <c r="K29">
        <v>10254.4</v>
      </c>
      <c r="L29">
        <v>3258</v>
      </c>
      <c r="M29" t="s">
        <v>28</v>
      </c>
      <c r="N29" t="s">
        <v>33</v>
      </c>
      <c r="O29">
        <f>YEAR(Table1[[#This Row],[Order Date]])</f>
        <v>2026</v>
      </c>
      <c r="P29" t="str">
        <f>TEXT(Table1[[#This Row],[Order Date]],"MMM")</f>
        <v>Feb</v>
      </c>
    </row>
    <row r="30" spans="1:16" x14ac:dyDescent="0.3">
      <c r="A30" t="s">
        <v>102</v>
      </c>
      <c r="B30" t="s">
        <v>103</v>
      </c>
      <c r="C30" t="s">
        <v>36</v>
      </c>
      <c r="D30" t="s">
        <v>37</v>
      </c>
      <c r="E30" t="s">
        <v>38</v>
      </c>
      <c r="F30" t="s">
        <v>31</v>
      </c>
      <c r="G30">
        <v>3</v>
      </c>
      <c r="H30">
        <v>42442</v>
      </c>
      <c r="I30">
        <v>33529</v>
      </c>
      <c r="J30">
        <v>15</v>
      </c>
      <c r="K30">
        <v>108227.1</v>
      </c>
      <c r="L30">
        <v>26739</v>
      </c>
      <c r="M30" t="s">
        <v>32</v>
      </c>
      <c r="N30" t="s">
        <v>33</v>
      </c>
      <c r="O30">
        <f>YEAR(Table1[[#This Row],[Order Date]])</f>
        <v>2026</v>
      </c>
      <c r="P30" t="str">
        <f>TEXT(Table1[[#This Row],[Order Date]],"MMM")</f>
        <v>Mar</v>
      </c>
    </row>
    <row r="31" spans="1:16" x14ac:dyDescent="0.3">
      <c r="A31" t="s">
        <v>104</v>
      </c>
      <c r="B31" t="s">
        <v>54</v>
      </c>
      <c r="C31" t="s">
        <v>61</v>
      </c>
      <c r="D31" t="s">
        <v>45</v>
      </c>
      <c r="E31" t="s">
        <v>62</v>
      </c>
      <c r="F31" t="s">
        <v>31</v>
      </c>
      <c r="G31">
        <v>3</v>
      </c>
      <c r="H31">
        <v>24511</v>
      </c>
      <c r="I31">
        <v>17402</v>
      </c>
      <c r="J31">
        <v>10</v>
      </c>
      <c r="K31">
        <v>66179.7</v>
      </c>
      <c r="L31">
        <v>21327</v>
      </c>
      <c r="M31" t="s">
        <v>32</v>
      </c>
      <c r="N31" t="s">
        <v>52</v>
      </c>
      <c r="O31">
        <f>YEAR(Table1[[#This Row],[Order Date]])</f>
        <v>2026</v>
      </c>
      <c r="P31" t="str">
        <f>TEXT(Table1[[#This Row],[Order Date]],"MMM")</f>
        <v>Feb</v>
      </c>
    </row>
    <row r="32" spans="1:16" x14ac:dyDescent="0.3">
      <c r="A32" t="s">
        <v>105</v>
      </c>
      <c r="B32" t="s">
        <v>106</v>
      </c>
      <c r="C32" t="s">
        <v>67</v>
      </c>
      <c r="D32" t="s">
        <v>46</v>
      </c>
      <c r="E32" t="s">
        <v>68</v>
      </c>
      <c r="F32" t="s">
        <v>19</v>
      </c>
      <c r="G32">
        <v>4</v>
      </c>
      <c r="H32">
        <v>19108</v>
      </c>
      <c r="I32">
        <v>13184</v>
      </c>
      <c r="J32">
        <v>0</v>
      </c>
      <c r="K32">
        <v>76432</v>
      </c>
      <c r="L32">
        <v>23696</v>
      </c>
      <c r="M32" t="s">
        <v>32</v>
      </c>
      <c r="N32" t="s">
        <v>21</v>
      </c>
      <c r="O32">
        <f>YEAR(Table1[[#This Row],[Order Date]])</f>
        <v>2026</v>
      </c>
      <c r="P32" t="str">
        <f>TEXT(Table1[[#This Row],[Order Date]],"MMM")</f>
        <v>Jan</v>
      </c>
    </row>
    <row r="33" spans="1:16" x14ac:dyDescent="0.3">
      <c r="A33" t="s">
        <v>107</v>
      </c>
      <c r="B33" t="s">
        <v>66</v>
      </c>
      <c r="C33" t="s">
        <v>16</v>
      </c>
      <c r="D33" t="s">
        <v>17</v>
      </c>
      <c r="E33" t="s">
        <v>18</v>
      </c>
      <c r="F33" t="s">
        <v>31</v>
      </c>
      <c r="G33">
        <v>4</v>
      </c>
      <c r="H33">
        <v>48342</v>
      </c>
      <c r="I33">
        <v>39640</v>
      </c>
      <c r="J33">
        <v>5</v>
      </c>
      <c r="K33">
        <v>183699.6</v>
      </c>
      <c r="L33">
        <v>34808</v>
      </c>
      <c r="M33" t="s">
        <v>39</v>
      </c>
      <c r="N33" t="s">
        <v>33</v>
      </c>
      <c r="O33">
        <f>YEAR(Table1[[#This Row],[Order Date]])</f>
        <v>2026</v>
      </c>
      <c r="P33" t="str">
        <f>TEXT(Table1[[#This Row],[Order Date]],"MMM")</f>
        <v>Feb</v>
      </c>
    </row>
    <row r="34" spans="1:16" x14ac:dyDescent="0.3">
      <c r="A34" t="s">
        <v>108</v>
      </c>
      <c r="B34" t="s">
        <v>94</v>
      </c>
      <c r="C34" t="s">
        <v>44</v>
      </c>
      <c r="D34" t="s">
        <v>45</v>
      </c>
      <c r="E34" t="s">
        <v>46</v>
      </c>
      <c r="F34" t="s">
        <v>51</v>
      </c>
      <c r="G34">
        <v>2</v>
      </c>
      <c r="H34">
        <v>37454</v>
      </c>
      <c r="I34">
        <v>29963</v>
      </c>
      <c r="J34">
        <v>15</v>
      </c>
      <c r="K34">
        <v>63671.8</v>
      </c>
      <c r="L34">
        <v>14982</v>
      </c>
      <c r="M34" t="s">
        <v>28</v>
      </c>
      <c r="N34" t="s">
        <v>52</v>
      </c>
      <c r="O34">
        <f>YEAR(Table1[[#This Row],[Order Date]])</f>
        <v>2026</v>
      </c>
      <c r="P34" t="str">
        <f>TEXT(Table1[[#This Row],[Order Date]],"MMM")</f>
        <v>Jan</v>
      </c>
    </row>
    <row r="35" spans="1:16" x14ac:dyDescent="0.3">
      <c r="A35" t="s">
        <v>109</v>
      </c>
      <c r="B35" t="s">
        <v>110</v>
      </c>
      <c r="C35" t="s">
        <v>57</v>
      </c>
      <c r="D35" t="s">
        <v>46</v>
      </c>
      <c r="E35" t="s">
        <v>58</v>
      </c>
      <c r="F35" t="s">
        <v>51</v>
      </c>
      <c r="G35">
        <v>4</v>
      </c>
      <c r="H35">
        <v>24003</v>
      </c>
      <c r="I35">
        <v>16562</v>
      </c>
      <c r="J35">
        <v>15</v>
      </c>
      <c r="K35">
        <v>81610.2</v>
      </c>
      <c r="L35">
        <v>29764</v>
      </c>
      <c r="M35" t="s">
        <v>20</v>
      </c>
      <c r="N35" t="s">
        <v>33</v>
      </c>
      <c r="O35">
        <f>YEAR(Table1[[#This Row],[Order Date]])</f>
        <v>2026</v>
      </c>
      <c r="P35" t="str">
        <f>TEXT(Table1[[#This Row],[Order Date]],"MMM")</f>
        <v>Mar</v>
      </c>
    </row>
    <row r="36" spans="1:16" x14ac:dyDescent="0.3">
      <c r="A36" t="s">
        <v>111</v>
      </c>
      <c r="B36" t="s">
        <v>112</v>
      </c>
      <c r="C36" t="s">
        <v>61</v>
      </c>
      <c r="D36" t="s">
        <v>45</v>
      </c>
      <c r="E36" t="s">
        <v>62</v>
      </c>
      <c r="F36" t="s">
        <v>31</v>
      </c>
      <c r="G36">
        <v>4</v>
      </c>
      <c r="H36">
        <v>27455</v>
      </c>
      <c r="I36">
        <v>20865</v>
      </c>
      <c r="J36">
        <v>5</v>
      </c>
      <c r="K36">
        <v>104329</v>
      </c>
      <c r="L36">
        <v>26360</v>
      </c>
      <c r="M36" t="s">
        <v>28</v>
      </c>
      <c r="N36" t="s">
        <v>21</v>
      </c>
      <c r="O36">
        <f>YEAR(Table1[[#This Row],[Order Date]])</f>
        <v>2026</v>
      </c>
      <c r="P36" t="str">
        <f>TEXT(Table1[[#This Row],[Order Date]],"MMM")</f>
        <v>Mar</v>
      </c>
    </row>
    <row r="37" spans="1:16" x14ac:dyDescent="0.3">
      <c r="A37" t="s">
        <v>113</v>
      </c>
      <c r="B37" t="s">
        <v>54</v>
      </c>
      <c r="C37" t="s">
        <v>24</v>
      </c>
      <c r="D37" t="s">
        <v>25</v>
      </c>
      <c r="E37" t="s">
        <v>26</v>
      </c>
      <c r="F37" t="s">
        <v>51</v>
      </c>
      <c r="G37">
        <v>4</v>
      </c>
      <c r="H37">
        <v>42984</v>
      </c>
      <c r="I37">
        <v>26220</v>
      </c>
      <c r="J37">
        <v>5</v>
      </c>
      <c r="K37">
        <v>163339.20000000001</v>
      </c>
      <c r="L37">
        <v>67056</v>
      </c>
      <c r="M37" t="s">
        <v>39</v>
      </c>
      <c r="N37" t="s">
        <v>33</v>
      </c>
      <c r="O37">
        <f>YEAR(Table1[[#This Row],[Order Date]])</f>
        <v>2026</v>
      </c>
      <c r="P37" t="str">
        <f>TEXT(Table1[[#This Row],[Order Date]],"MMM")</f>
        <v>Feb</v>
      </c>
    </row>
    <row r="38" spans="1:16" x14ac:dyDescent="0.3">
      <c r="A38" t="s">
        <v>114</v>
      </c>
      <c r="B38" t="s">
        <v>115</v>
      </c>
      <c r="C38" t="s">
        <v>67</v>
      </c>
      <c r="D38" t="s">
        <v>46</v>
      </c>
      <c r="E38" t="s">
        <v>68</v>
      </c>
      <c r="F38" t="s">
        <v>27</v>
      </c>
      <c r="G38">
        <v>4</v>
      </c>
      <c r="H38">
        <v>33029</v>
      </c>
      <c r="I38">
        <v>26423</v>
      </c>
      <c r="J38">
        <v>10</v>
      </c>
      <c r="K38">
        <v>118904.4</v>
      </c>
      <c r="L38">
        <v>26424</v>
      </c>
      <c r="M38" t="s">
        <v>32</v>
      </c>
      <c r="N38" t="s">
        <v>52</v>
      </c>
      <c r="O38">
        <f>YEAR(Table1[[#This Row],[Order Date]])</f>
        <v>2026</v>
      </c>
      <c r="P38" t="str">
        <f>TEXT(Table1[[#This Row],[Order Date]],"MMM")</f>
        <v>Jan</v>
      </c>
    </row>
    <row r="39" spans="1:16" x14ac:dyDescent="0.3">
      <c r="A39" t="s">
        <v>116</v>
      </c>
      <c r="B39" t="s">
        <v>56</v>
      </c>
      <c r="C39" t="s">
        <v>61</v>
      </c>
      <c r="D39" t="s">
        <v>45</v>
      </c>
      <c r="E39" t="s">
        <v>62</v>
      </c>
      <c r="F39" t="s">
        <v>31</v>
      </c>
      <c r="G39">
        <v>3</v>
      </c>
      <c r="H39">
        <v>25696</v>
      </c>
      <c r="I39">
        <v>20556</v>
      </c>
      <c r="J39">
        <v>5</v>
      </c>
      <c r="K39">
        <v>73233.600000000006</v>
      </c>
      <c r="L39">
        <v>15420</v>
      </c>
      <c r="M39" t="s">
        <v>20</v>
      </c>
      <c r="N39" t="s">
        <v>52</v>
      </c>
      <c r="O39">
        <f>YEAR(Table1[[#This Row],[Order Date]])</f>
        <v>2026</v>
      </c>
      <c r="P39" t="str">
        <f>TEXT(Table1[[#This Row],[Order Date]],"MMM")</f>
        <v>Jan</v>
      </c>
    </row>
    <row r="40" spans="1:16" x14ac:dyDescent="0.3">
      <c r="A40" t="s">
        <v>117</v>
      </c>
      <c r="B40" t="s">
        <v>118</v>
      </c>
      <c r="C40" t="s">
        <v>49</v>
      </c>
      <c r="D40" t="s">
        <v>45</v>
      </c>
      <c r="E40" t="s">
        <v>50</v>
      </c>
      <c r="F40" t="s">
        <v>19</v>
      </c>
      <c r="G40">
        <v>4</v>
      </c>
      <c r="H40">
        <v>29119</v>
      </c>
      <c r="I40">
        <v>21548</v>
      </c>
      <c r="J40">
        <v>15</v>
      </c>
      <c r="K40">
        <v>99004.6</v>
      </c>
      <c r="L40">
        <v>30284</v>
      </c>
      <c r="M40" t="s">
        <v>20</v>
      </c>
      <c r="N40" t="s">
        <v>33</v>
      </c>
      <c r="O40">
        <f>YEAR(Table1[[#This Row],[Order Date]])</f>
        <v>2026</v>
      </c>
      <c r="P40" t="str">
        <f>TEXT(Table1[[#This Row],[Order Date]],"MMM")</f>
        <v>Mar</v>
      </c>
    </row>
    <row r="41" spans="1:16" x14ac:dyDescent="0.3">
      <c r="A41" t="s">
        <v>119</v>
      </c>
      <c r="B41" t="s">
        <v>84</v>
      </c>
      <c r="C41" t="s">
        <v>61</v>
      </c>
      <c r="D41" t="s">
        <v>45</v>
      </c>
      <c r="E41" t="s">
        <v>62</v>
      </c>
      <c r="F41" t="s">
        <v>27</v>
      </c>
      <c r="G41">
        <v>5</v>
      </c>
      <c r="H41">
        <v>13159</v>
      </c>
      <c r="I41">
        <v>11185</v>
      </c>
      <c r="J41">
        <v>5</v>
      </c>
      <c r="K41">
        <v>62505.25</v>
      </c>
      <c r="L41">
        <v>9870</v>
      </c>
      <c r="M41" t="s">
        <v>32</v>
      </c>
      <c r="N41" t="s">
        <v>33</v>
      </c>
      <c r="O41">
        <f>YEAR(Table1[[#This Row],[Order Date]])</f>
        <v>2026</v>
      </c>
      <c r="P41" t="str">
        <f>TEXT(Table1[[#This Row],[Order Date]],"MMM")</f>
        <v>Feb</v>
      </c>
    </row>
    <row r="42" spans="1:16" x14ac:dyDescent="0.3">
      <c r="A42" t="s">
        <v>120</v>
      </c>
      <c r="B42" t="s">
        <v>106</v>
      </c>
      <c r="C42" t="s">
        <v>67</v>
      </c>
      <c r="D42" t="s">
        <v>46</v>
      </c>
      <c r="E42" t="s">
        <v>68</v>
      </c>
      <c r="F42" t="s">
        <v>27</v>
      </c>
      <c r="G42">
        <v>5</v>
      </c>
      <c r="H42">
        <v>48368</v>
      </c>
      <c r="I42">
        <v>36276</v>
      </c>
      <c r="J42">
        <v>20</v>
      </c>
      <c r="K42">
        <v>193472</v>
      </c>
      <c r="L42">
        <v>60460</v>
      </c>
      <c r="M42" t="s">
        <v>32</v>
      </c>
      <c r="N42" t="s">
        <v>33</v>
      </c>
      <c r="O42">
        <f>YEAR(Table1[[#This Row],[Order Date]])</f>
        <v>2026</v>
      </c>
      <c r="P42" t="str">
        <f>TEXT(Table1[[#This Row],[Order Date]],"MMM")</f>
        <v>Jan</v>
      </c>
    </row>
    <row r="43" spans="1:16" x14ac:dyDescent="0.3">
      <c r="A43" t="s">
        <v>121</v>
      </c>
      <c r="B43" t="s">
        <v>122</v>
      </c>
      <c r="C43" t="s">
        <v>57</v>
      </c>
      <c r="D43" t="s">
        <v>46</v>
      </c>
      <c r="E43" t="s">
        <v>58</v>
      </c>
      <c r="F43" t="s">
        <v>19</v>
      </c>
      <c r="G43">
        <v>1</v>
      </c>
      <c r="H43">
        <v>39415</v>
      </c>
      <c r="I43">
        <v>31137</v>
      </c>
      <c r="J43">
        <v>20</v>
      </c>
      <c r="K43">
        <v>31532</v>
      </c>
      <c r="L43">
        <v>8278</v>
      </c>
      <c r="M43" t="s">
        <v>28</v>
      </c>
      <c r="N43" t="s">
        <v>21</v>
      </c>
      <c r="O43">
        <f>YEAR(Table1[[#This Row],[Order Date]])</f>
        <v>2026</v>
      </c>
      <c r="P43" t="str">
        <f>TEXT(Table1[[#This Row],[Order Date]],"MMM")</f>
        <v>Mar</v>
      </c>
    </row>
    <row r="44" spans="1:16" x14ac:dyDescent="0.3">
      <c r="A44" t="s">
        <v>123</v>
      </c>
      <c r="B44" t="s">
        <v>124</v>
      </c>
      <c r="C44" t="s">
        <v>81</v>
      </c>
      <c r="D44" t="s">
        <v>37</v>
      </c>
      <c r="E44" t="s">
        <v>82</v>
      </c>
      <c r="F44" t="s">
        <v>19</v>
      </c>
      <c r="G44">
        <v>4</v>
      </c>
      <c r="H44">
        <v>859</v>
      </c>
      <c r="I44">
        <v>678</v>
      </c>
      <c r="J44">
        <v>20</v>
      </c>
      <c r="K44">
        <v>2748.8</v>
      </c>
      <c r="L44">
        <v>724</v>
      </c>
      <c r="M44" t="s">
        <v>39</v>
      </c>
      <c r="N44" t="s">
        <v>33</v>
      </c>
      <c r="O44">
        <f>YEAR(Table1[[#This Row],[Order Date]])</f>
        <v>2026</v>
      </c>
      <c r="P44" t="str">
        <f>TEXT(Table1[[#This Row],[Order Date]],"MMM")</f>
        <v>Mar</v>
      </c>
    </row>
    <row r="45" spans="1:16" x14ac:dyDescent="0.3">
      <c r="A45" t="s">
        <v>125</v>
      </c>
      <c r="B45" t="s">
        <v>126</v>
      </c>
      <c r="C45" t="s">
        <v>61</v>
      </c>
      <c r="D45" t="s">
        <v>45</v>
      </c>
      <c r="E45" t="s">
        <v>62</v>
      </c>
      <c r="F45" t="s">
        <v>19</v>
      </c>
      <c r="G45">
        <v>4</v>
      </c>
      <c r="H45">
        <v>46522</v>
      </c>
      <c r="I45">
        <v>32565</v>
      </c>
      <c r="J45">
        <v>20</v>
      </c>
      <c r="K45">
        <v>148870.39999999999</v>
      </c>
      <c r="L45">
        <v>55828</v>
      </c>
      <c r="M45" t="s">
        <v>32</v>
      </c>
      <c r="N45" t="s">
        <v>21</v>
      </c>
      <c r="O45">
        <f>YEAR(Table1[[#This Row],[Order Date]])</f>
        <v>2026</v>
      </c>
      <c r="P45" t="str">
        <f>TEXT(Table1[[#This Row],[Order Date]],"MMM")</f>
        <v>Jan</v>
      </c>
    </row>
    <row r="46" spans="1:16" x14ac:dyDescent="0.3">
      <c r="A46" t="s">
        <v>127</v>
      </c>
      <c r="B46" t="s">
        <v>128</v>
      </c>
      <c r="C46" t="s">
        <v>71</v>
      </c>
      <c r="D46" t="s">
        <v>17</v>
      </c>
      <c r="E46" t="s">
        <v>72</v>
      </c>
      <c r="F46" t="s">
        <v>51</v>
      </c>
      <c r="G46">
        <v>3</v>
      </c>
      <c r="H46">
        <v>6257</v>
      </c>
      <c r="I46">
        <v>4817</v>
      </c>
      <c r="J46">
        <v>10</v>
      </c>
      <c r="K46">
        <v>16893.900000000001</v>
      </c>
      <c r="L46">
        <v>4320</v>
      </c>
      <c r="M46" t="s">
        <v>32</v>
      </c>
      <c r="N46" t="s">
        <v>33</v>
      </c>
      <c r="O46">
        <f>YEAR(Table1[[#This Row],[Order Date]])</f>
        <v>2026</v>
      </c>
      <c r="P46" t="str">
        <f>TEXT(Table1[[#This Row],[Order Date]],"MMM")</f>
        <v>Mar</v>
      </c>
    </row>
    <row r="47" spans="1:16" x14ac:dyDescent="0.3">
      <c r="A47" t="s">
        <v>129</v>
      </c>
      <c r="B47" t="s">
        <v>130</v>
      </c>
      <c r="C47" t="s">
        <v>16</v>
      </c>
      <c r="D47" t="s">
        <v>17</v>
      </c>
      <c r="E47" t="s">
        <v>18</v>
      </c>
      <c r="F47" t="s">
        <v>27</v>
      </c>
      <c r="G47">
        <v>4</v>
      </c>
      <c r="H47">
        <v>21368</v>
      </c>
      <c r="I47">
        <v>15598</v>
      </c>
      <c r="J47">
        <v>0</v>
      </c>
      <c r="K47">
        <v>85472</v>
      </c>
      <c r="L47">
        <v>23080</v>
      </c>
      <c r="M47" t="s">
        <v>32</v>
      </c>
      <c r="N47" t="s">
        <v>52</v>
      </c>
      <c r="O47">
        <f>YEAR(Table1[[#This Row],[Order Date]])</f>
        <v>2026</v>
      </c>
      <c r="P47" t="str">
        <f>TEXT(Table1[[#This Row],[Order Date]],"MMM")</f>
        <v>Feb</v>
      </c>
    </row>
    <row r="48" spans="1:16" x14ac:dyDescent="0.3">
      <c r="A48" t="s">
        <v>131</v>
      </c>
      <c r="B48" t="s">
        <v>64</v>
      </c>
      <c r="C48" t="s">
        <v>24</v>
      </c>
      <c r="D48" t="s">
        <v>25</v>
      </c>
      <c r="E48" t="s">
        <v>26</v>
      </c>
      <c r="F48" t="s">
        <v>31</v>
      </c>
      <c r="G48">
        <v>1</v>
      </c>
      <c r="H48">
        <v>47266</v>
      </c>
      <c r="I48">
        <v>30250</v>
      </c>
      <c r="J48">
        <v>20</v>
      </c>
      <c r="K48">
        <v>37812.800000000003</v>
      </c>
      <c r="L48">
        <v>17016</v>
      </c>
      <c r="M48" t="s">
        <v>39</v>
      </c>
      <c r="N48" t="s">
        <v>21</v>
      </c>
      <c r="O48">
        <f>YEAR(Table1[[#This Row],[Order Date]])</f>
        <v>2026</v>
      </c>
      <c r="P48" t="str">
        <f>TEXT(Table1[[#This Row],[Order Date]],"MMM")</f>
        <v>Feb</v>
      </c>
    </row>
    <row r="49" spans="1:16" x14ac:dyDescent="0.3">
      <c r="A49" t="s">
        <v>132</v>
      </c>
      <c r="B49" t="s">
        <v>90</v>
      </c>
      <c r="C49" t="s">
        <v>57</v>
      </c>
      <c r="D49" t="s">
        <v>46</v>
      </c>
      <c r="E49" t="s">
        <v>58</v>
      </c>
      <c r="F49" t="s">
        <v>27</v>
      </c>
      <c r="G49">
        <v>1</v>
      </c>
      <c r="H49">
        <v>38971</v>
      </c>
      <c r="I49">
        <v>31176</v>
      </c>
      <c r="J49">
        <v>20</v>
      </c>
      <c r="K49">
        <v>31176.799999999999</v>
      </c>
      <c r="L49">
        <v>7795</v>
      </c>
      <c r="M49" t="s">
        <v>39</v>
      </c>
      <c r="N49" t="s">
        <v>21</v>
      </c>
      <c r="O49">
        <f>YEAR(Table1[[#This Row],[Order Date]])</f>
        <v>2026</v>
      </c>
      <c r="P49" t="str">
        <f>TEXT(Table1[[#This Row],[Order Date]],"MMM")</f>
        <v>Feb</v>
      </c>
    </row>
    <row r="50" spans="1:16" x14ac:dyDescent="0.3">
      <c r="A50" t="s">
        <v>133</v>
      </c>
      <c r="B50" t="s">
        <v>134</v>
      </c>
      <c r="C50" t="s">
        <v>61</v>
      </c>
      <c r="D50" t="s">
        <v>45</v>
      </c>
      <c r="E50" t="s">
        <v>62</v>
      </c>
      <c r="F50" t="s">
        <v>19</v>
      </c>
      <c r="G50">
        <v>2</v>
      </c>
      <c r="H50">
        <v>42020</v>
      </c>
      <c r="I50">
        <v>31935</v>
      </c>
      <c r="J50">
        <v>5</v>
      </c>
      <c r="K50">
        <v>79838</v>
      </c>
      <c r="L50">
        <v>20170</v>
      </c>
      <c r="M50" t="s">
        <v>28</v>
      </c>
      <c r="N50" t="s">
        <v>52</v>
      </c>
      <c r="O50">
        <f>YEAR(Table1[[#This Row],[Order Date]])</f>
        <v>2026</v>
      </c>
      <c r="P50" t="str">
        <f>TEXT(Table1[[#This Row],[Order Date]],"MMM")</f>
        <v>Mar</v>
      </c>
    </row>
    <row r="51" spans="1:16" x14ac:dyDescent="0.3">
      <c r="A51" t="s">
        <v>135</v>
      </c>
      <c r="B51" t="s">
        <v>136</v>
      </c>
      <c r="C51" t="s">
        <v>81</v>
      </c>
      <c r="D51" t="s">
        <v>37</v>
      </c>
      <c r="E51" t="s">
        <v>82</v>
      </c>
      <c r="F51" t="s">
        <v>27</v>
      </c>
      <c r="G51">
        <v>1</v>
      </c>
      <c r="H51">
        <v>4249</v>
      </c>
      <c r="I51">
        <v>2761</v>
      </c>
      <c r="J51">
        <v>0</v>
      </c>
      <c r="K51">
        <v>4249</v>
      </c>
      <c r="L51">
        <v>1488</v>
      </c>
      <c r="M51" t="s">
        <v>20</v>
      </c>
      <c r="N51" t="s">
        <v>21</v>
      </c>
      <c r="O51">
        <f>YEAR(Table1[[#This Row],[Order Date]])</f>
        <v>2026</v>
      </c>
      <c r="P51" t="str">
        <f>TEXT(Table1[[#This Row],[Order Date]],"MMM")</f>
        <v>Feb</v>
      </c>
    </row>
    <row r="52" spans="1:16" x14ac:dyDescent="0.3">
      <c r="A52" t="s">
        <v>137</v>
      </c>
      <c r="B52" t="s">
        <v>138</v>
      </c>
      <c r="C52" t="s">
        <v>16</v>
      </c>
      <c r="D52" t="s">
        <v>17</v>
      </c>
      <c r="E52" t="s">
        <v>18</v>
      </c>
      <c r="F52" t="s">
        <v>19</v>
      </c>
      <c r="G52">
        <v>4</v>
      </c>
      <c r="H52">
        <v>21665</v>
      </c>
      <c r="I52">
        <v>14732</v>
      </c>
      <c r="J52">
        <v>0</v>
      </c>
      <c r="K52">
        <v>86660</v>
      </c>
      <c r="L52">
        <v>27732</v>
      </c>
      <c r="M52" t="s">
        <v>28</v>
      </c>
      <c r="N52" t="s">
        <v>33</v>
      </c>
      <c r="O52">
        <f>YEAR(Table1[[#This Row],[Order Date]])</f>
        <v>2026</v>
      </c>
      <c r="P52" t="str">
        <f>TEXT(Table1[[#This Row],[Order Date]],"MMM")</f>
        <v>Jan</v>
      </c>
    </row>
    <row r="53" spans="1:16" x14ac:dyDescent="0.3">
      <c r="A53" t="s">
        <v>139</v>
      </c>
      <c r="B53" t="s">
        <v>115</v>
      </c>
      <c r="C53" t="s">
        <v>16</v>
      </c>
      <c r="D53" t="s">
        <v>17</v>
      </c>
      <c r="E53" t="s">
        <v>18</v>
      </c>
      <c r="F53" t="s">
        <v>31</v>
      </c>
      <c r="G53">
        <v>1</v>
      </c>
      <c r="H53">
        <v>22008</v>
      </c>
      <c r="I53">
        <v>17826</v>
      </c>
      <c r="J53">
        <v>20</v>
      </c>
      <c r="K53">
        <v>17606.400000000001</v>
      </c>
      <c r="L53">
        <v>4182</v>
      </c>
      <c r="M53" t="s">
        <v>20</v>
      </c>
      <c r="N53" t="s">
        <v>33</v>
      </c>
      <c r="O53">
        <f>YEAR(Table1[[#This Row],[Order Date]])</f>
        <v>2026</v>
      </c>
      <c r="P53" t="str">
        <f>TEXT(Table1[[#This Row],[Order Date]],"MMM")</f>
        <v>Jan</v>
      </c>
    </row>
    <row r="54" spans="1:16" x14ac:dyDescent="0.3">
      <c r="A54" t="s">
        <v>140</v>
      </c>
      <c r="B54" t="s">
        <v>141</v>
      </c>
      <c r="C54" t="s">
        <v>71</v>
      </c>
      <c r="D54" t="s">
        <v>17</v>
      </c>
      <c r="E54" t="s">
        <v>72</v>
      </c>
      <c r="F54" t="s">
        <v>27</v>
      </c>
      <c r="G54">
        <v>5</v>
      </c>
      <c r="H54">
        <v>21894</v>
      </c>
      <c r="I54">
        <v>15763</v>
      </c>
      <c r="J54">
        <v>0</v>
      </c>
      <c r="K54">
        <v>109470</v>
      </c>
      <c r="L54">
        <v>30655</v>
      </c>
      <c r="M54" t="s">
        <v>20</v>
      </c>
      <c r="N54" t="s">
        <v>52</v>
      </c>
      <c r="O54">
        <f>YEAR(Table1[[#This Row],[Order Date]])</f>
        <v>2026</v>
      </c>
      <c r="P54" t="str">
        <f>TEXT(Table1[[#This Row],[Order Date]],"MMM")</f>
        <v>Jan</v>
      </c>
    </row>
    <row r="55" spans="1:16" x14ac:dyDescent="0.3">
      <c r="A55" t="s">
        <v>142</v>
      </c>
      <c r="B55" t="s">
        <v>136</v>
      </c>
      <c r="C55" t="s">
        <v>67</v>
      </c>
      <c r="D55" t="s">
        <v>46</v>
      </c>
      <c r="E55" t="s">
        <v>68</v>
      </c>
      <c r="F55" t="s">
        <v>51</v>
      </c>
      <c r="G55">
        <v>1</v>
      </c>
      <c r="H55">
        <v>21072</v>
      </c>
      <c r="I55">
        <v>13275</v>
      </c>
      <c r="J55">
        <v>5</v>
      </c>
      <c r="K55">
        <v>20018.400000000001</v>
      </c>
      <c r="L55">
        <v>7797</v>
      </c>
      <c r="M55" t="s">
        <v>20</v>
      </c>
      <c r="N55" t="s">
        <v>21</v>
      </c>
      <c r="O55">
        <f>YEAR(Table1[[#This Row],[Order Date]])</f>
        <v>2026</v>
      </c>
      <c r="P55" t="str">
        <f>TEXT(Table1[[#This Row],[Order Date]],"MMM")</f>
        <v>Feb</v>
      </c>
    </row>
    <row r="56" spans="1:16" x14ac:dyDescent="0.3">
      <c r="A56" t="s">
        <v>143</v>
      </c>
      <c r="B56" t="s">
        <v>144</v>
      </c>
      <c r="C56" t="s">
        <v>61</v>
      </c>
      <c r="D56" t="s">
        <v>45</v>
      </c>
      <c r="E56" t="s">
        <v>62</v>
      </c>
      <c r="F56" t="s">
        <v>51</v>
      </c>
      <c r="G56">
        <v>1</v>
      </c>
      <c r="H56">
        <v>24766</v>
      </c>
      <c r="I56">
        <v>18326</v>
      </c>
      <c r="J56">
        <v>10</v>
      </c>
      <c r="K56">
        <v>22289.4</v>
      </c>
      <c r="L56">
        <v>6440</v>
      </c>
      <c r="M56" t="s">
        <v>32</v>
      </c>
      <c r="N56" t="s">
        <v>33</v>
      </c>
      <c r="O56">
        <f>YEAR(Table1[[#This Row],[Order Date]])</f>
        <v>2026</v>
      </c>
      <c r="P56" t="str">
        <f>TEXT(Table1[[#This Row],[Order Date]],"MMM")</f>
        <v>Mar</v>
      </c>
    </row>
    <row r="57" spans="1:16" x14ac:dyDescent="0.3">
      <c r="A57" t="s">
        <v>145</v>
      </c>
      <c r="B57" t="s">
        <v>96</v>
      </c>
      <c r="C57" t="s">
        <v>24</v>
      </c>
      <c r="D57" t="s">
        <v>25</v>
      </c>
      <c r="E57" t="s">
        <v>26</v>
      </c>
      <c r="F57" t="s">
        <v>51</v>
      </c>
      <c r="G57">
        <v>5</v>
      </c>
      <c r="H57">
        <v>48966</v>
      </c>
      <c r="I57">
        <v>33786</v>
      </c>
      <c r="J57">
        <v>10</v>
      </c>
      <c r="K57">
        <v>220347</v>
      </c>
      <c r="L57">
        <v>75900</v>
      </c>
      <c r="M57" t="s">
        <v>20</v>
      </c>
      <c r="N57" t="s">
        <v>21</v>
      </c>
      <c r="O57">
        <f>YEAR(Table1[[#This Row],[Order Date]])</f>
        <v>2026</v>
      </c>
      <c r="P57" t="str">
        <f>TEXT(Table1[[#This Row],[Order Date]],"MMM")</f>
        <v>Jan</v>
      </c>
    </row>
    <row r="58" spans="1:16" x14ac:dyDescent="0.3">
      <c r="A58" t="s">
        <v>146</v>
      </c>
      <c r="B58" t="s">
        <v>147</v>
      </c>
      <c r="C58" t="s">
        <v>81</v>
      </c>
      <c r="D58" t="s">
        <v>37</v>
      </c>
      <c r="E58" t="s">
        <v>82</v>
      </c>
      <c r="F58" t="s">
        <v>27</v>
      </c>
      <c r="G58">
        <v>3</v>
      </c>
      <c r="H58">
        <v>11025</v>
      </c>
      <c r="I58">
        <v>8379</v>
      </c>
      <c r="J58">
        <v>20</v>
      </c>
      <c r="K58">
        <v>26460</v>
      </c>
      <c r="L58">
        <v>7938</v>
      </c>
      <c r="M58" t="s">
        <v>32</v>
      </c>
      <c r="N58" t="s">
        <v>33</v>
      </c>
      <c r="O58">
        <f>YEAR(Table1[[#This Row],[Order Date]])</f>
        <v>2026</v>
      </c>
      <c r="P58" t="str">
        <f>TEXT(Table1[[#This Row],[Order Date]],"MMM")</f>
        <v>Jan</v>
      </c>
    </row>
    <row r="59" spans="1:16" x14ac:dyDescent="0.3">
      <c r="A59" t="s">
        <v>148</v>
      </c>
      <c r="B59" t="s">
        <v>60</v>
      </c>
      <c r="C59" t="s">
        <v>61</v>
      </c>
      <c r="D59" t="s">
        <v>45</v>
      </c>
      <c r="E59" t="s">
        <v>62</v>
      </c>
      <c r="F59" t="s">
        <v>19</v>
      </c>
      <c r="G59">
        <v>4</v>
      </c>
      <c r="H59">
        <v>38028</v>
      </c>
      <c r="I59">
        <v>31182</v>
      </c>
      <c r="J59">
        <v>5</v>
      </c>
      <c r="K59">
        <v>144506.4</v>
      </c>
      <c r="L59">
        <v>27384</v>
      </c>
      <c r="M59" t="s">
        <v>32</v>
      </c>
      <c r="N59" t="s">
        <v>52</v>
      </c>
      <c r="O59">
        <f>YEAR(Table1[[#This Row],[Order Date]])</f>
        <v>2026</v>
      </c>
      <c r="P59" t="str">
        <f>TEXT(Table1[[#This Row],[Order Date]],"MMM")</f>
        <v>Jan</v>
      </c>
    </row>
    <row r="60" spans="1:16" x14ac:dyDescent="0.3">
      <c r="A60" t="s">
        <v>149</v>
      </c>
      <c r="B60" t="s">
        <v>60</v>
      </c>
      <c r="C60" t="s">
        <v>24</v>
      </c>
      <c r="D60" t="s">
        <v>25</v>
      </c>
      <c r="E60" t="s">
        <v>26</v>
      </c>
      <c r="F60" t="s">
        <v>31</v>
      </c>
      <c r="G60">
        <v>2</v>
      </c>
      <c r="H60">
        <v>14318</v>
      </c>
      <c r="I60">
        <v>11311</v>
      </c>
      <c r="J60">
        <v>5</v>
      </c>
      <c r="K60">
        <v>27204.2</v>
      </c>
      <c r="L60">
        <v>6014</v>
      </c>
      <c r="M60" t="s">
        <v>39</v>
      </c>
      <c r="N60" t="s">
        <v>52</v>
      </c>
      <c r="O60">
        <f>YEAR(Table1[[#This Row],[Order Date]])</f>
        <v>2026</v>
      </c>
      <c r="P60" t="str">
        <f>TEXT(Table1[[#This Row],[Order Date]],"MMM")</f>
        <v>Jan</v>
      </c>
    </row>
    <row r="61" spans="1:16" x14ac:dyDescent="0.3">
      <c r="A61" t="s">
        <v>150</v>
      </c>
      <c r="B61" t="s">
        <v>122</v>
      </c>
      <c r="C61" t="s">
        <v>36</v>
      </c>
      <c r="D61" t="s">
        <v>37</v>
      </c>
      <c r="E61" t="s">
        <v>38</v>
      </c>
      <c r="F61" t="s">
        <v>51</v>
      </c>
      <c r="G61">
        <v>1</v>
      </c>
      <c r="H61">
        <v>30091</v>
      </c>
      <c r="I61">
        <v>23170</v>
      </c>
      <c r="J61">
        <v>5</v>
      </c>
      <c r="K61">
        <v>28586.45</v>
      </c>
      <c r="L61">
        <v>6921</v>
      </c>
      <c r="M61" t="s">
        <v>20</v>
      </c>
      <c r="N61" t="s">
        <v>52</v>
      </c>
      <c r="O61">
        <f>YEAR(Table1[[#This Row],[Order Date]])</f>
        <v>2026</v>
      </c>
      <c r="P61" t="str">
        <f>TEXT(Table1[[#This Row],[Order Date]],"MMM")</f>
        <v>Mar</v>
      </c>
    </row>
    <row r="62" spans="1:16" x14ac:dyDescent="0.3">
      <c r="A62" t="s">
        <v>151</v>
      </c>
      <c r="B62" t="s">
        <v>115</v>
      </c>
      <c r="C62" t="s">
        <v>49</v>
      </c>
      <c r="D62" t="s">
        <v>45</v>
      </c>
      <c r="E62" t="s">
        <v>50</v>
      </c>
      <c r="F62" t="s">
        <v>51</v>
      </c>
      <c r="G62">
        <v>4</v>
      </c>
      <c r="H62">
        <v>36014</v>
      </c>
      <c r="I62">
        <v>23048</v>
      </c>
      <c r="J62">
        <v>0</v>
      </c>
      <c r="K62">
        <v>144056</v>
      </c>
      <c r="L62">
        <v>51864</v>
      </c>
      <c r="M62" t="s">
        <v>32</v>
      </c>
      <c r="N62" t="s">
        <v>52</v>
      </c>
      <c r="O62">
        <f>YEAR(Table1[[#This Row],[Order Date]])</f>
        <v>2026</v>
      </c>
      <c r="P62" t="str">
        <f>TEXT(Table1[[#This Row],[Order Date]],"MMM")</f>
        <v>Jan</v>
      </c>
    </row>
    <row r="63" spans="1:16" x14ac:dyDescent="0.3">
      <c r="A63" t="s">
        <v>152</v>
      </c>
      <c r="B63" t="s">
        <v>153</v>
      </c>
      <c r="C63" t="s">
        <v>61</v>
      </c>
      <c r="D63" t="s">
        <v>45</v>
      </c>
      <c r="E63" t="s">
        <v>62</v>
      </c>
      <c r="F63" t="s">
        <v>51</v>
      </c>
      <c r="G63">
        <v>4</v>
      </c>
      <c r="H63">
        <v>7470</v>
      </c>
      <c r="I63">
        <v>6125</v>
      </c>
      <c r="J63">
        <v>10</v>
      </c>
      <c r="K63">
        <v>26892</v>
      </c>
      <c r="L63">
        <v>5380</v>
      </c>
      <c r="M63" t="s">
        <v>39</v>
      </c>
      <c r="N63" t="s">
        <v>21</v>
      </c>
      <c r="O63">
        <f>YEAR(Table1[[#This Row],[Order Date]])</f>
        <v>2026</v>
      </c>
      <c r="P63" t="str">
        <f>TEXT(Table1[[#This Row],[Order Date]],"MMM")</f>
        <v>Mar</v>
      </c>
    </row>
    <row r="64" spans="1:16" x14ac:dyDescent="0.3">
      <c r="A64" t="s">
        <v>154</v>
      </c>
      <c r="B64" t="s">
        <v>144</v>
      </c>
      <c r="C64" t="s">
        <v>81</v>
      </c>
      <c r="D64" t="s">
        <v>37</v>
      </c>
      <c r="E64" t="s">
        <v>82</v>
      </c>
      <c r="F64" t="s">
        <v>19</v>
      </c>
      <c r="G64">
        <v>3</v>
      </c>
      <c r="H64">
        <v>18302</v>
      </c>
      <c r="I64">
        <v>14824</v>
      </c>
      <c r="J64">
        <v>0</v>
      </c>
      <c r="K64">
        <v>54906</v>
      </c>
      <c r="L64">
        <v>10434</v>
      </c>
      <c r="M64" t="s">
        <v>39</v>
      </c>
      <c r="N64" t="s">
        <v>21</v>
      </c>
      <c r="O64">
        <f>YEAR(Table1[[#This Row],[Order Date]])</f>
        <v>2026</v>
      </c>
      <c r="P64" t="str">
        <f>TEXT(Table1[[#This Row],[Order Date]],"MMM")</f>
        <v>Mar</v>
      </c>
    </row>
    <row r="65" spans="1:16" x14ac:dyDescent="0.3">
      <c r="A65" t="s">
        <v>155</v>
      </c>
      <c r="B65" t="s">
        <v>92</v>
      </c>
      <c r="C65" t="s">
        <v>67</v>
      </c>
      <c r="D65" t="s">
        <v>46</v>
      </c>
      <c r="E65" t="s">
        <v>68</v>
      </c>
      <c r="F65" t="s">
        <v>51</v>
      </c>
      <c r="G65">
        <v>2</v>
      </c>
      <c r="H65">
        <v>8041</v>
      </c>
      <c r="I65">
        <v>5869</v>
      </c>
      <c r="J65">
        <v>0</v>
      </c>
      <c r="K65">
        <v>16082</v>
      </c>
      <c r="L65">
        <v>4344</v>
      </c>
      <c r="M65" t="s">
        <v>28</v>
      </c>
      <c r="N65" t="s">
        <v>33</v>
      </c>
      <c r="O65">
        <f>YEAR(Table1[[#This Row],[Order Date]])</f>
        <v>2026</v>
      </c>
      <c r="P65" t="str">
        <f>TEXT(Table1[[#This Row],[Order Date]],"MMM")</f>
        <v>Jan</v>
      </c>
    </row>
    <row r="66" spans="1:16" x14ac:dyDescent="0.3">
      <c r="A66" t="s">
        <v>156</v>
      </c>
      <c r="B66" t="s">
        <v>103</v>
      </c>
      <c r="C66" t="s">
        <v>81</v>
      </c>
      <c r="D66" t="s">
        <v>37</v>
      </c>
      <c r="E66" t="s">
        <v>82</v>
      </c>
      <c r="F66" t="s">
        <v>19</v>
      </c>
      <c r="G66">
        <v>2</v>
      </c>
      <c r="H66">
        <v>30670</v>
      </c>
      <c r="I66">
        <v>19935</v>
      </c>
      <c r="J66">
        <v>10</v>
      </c>
      <c r="K66">
        <v>55206</v>
      </c>
      <c r="L66">
        <v>21470</v>
      </c>
      <c r="M66" t="s">
        <v>20</v>
      </c>
      <c r="N66" t="s">
        <v>52</v>
      </c>
      <c r="O66">
        <f>YEAR(Table1[[#This Row],[Order Date]])</f>
        <v>2026</v>
      </c>
      <c r="P66" t="str">
        <f>TEXT(Table1[[#This Row],[Order Date]],"MMM")</f>
        <v>Mar</v>
      </c>
    </row>
    <row r="67" spans="1:16" x14ac:dyDescent="0.3">
      <c r="A67" t="s">
        <v>157</v>
      </c>
      <c r="B67" t="s">
        <v>43</v>
      </c>
      <c r="C67" t="s">
        <v>16</v>
      </c>
      <c r="D67" t="s">
        <v>17</v>
      </c>
      <c r="E67" t="s">
        <v>18</v>
      </c>
      <c r="F67" t="s">
        <v>27</v>
      </c>
      <c r="G67">
        <v>5</v>
      </c>
      <c r="H67">
        <v>22037</v>
      </c>
      <c r="I67">
        <v>15646</v>
      </c>
      <c r="J67">
        <v>20</v>
      </c>
      <c r="K67">
        <v>88148</v>
      </c>
      <c r="L67">
        <v>31955</v>
      </c>
      <c r="M67" t="s">
        <v>28</v>
      </c>
      <c r="N67" t="s">
        <v>52</v>
      </c>
      <c r="O67">
        <f>YEAR(Table1[[#This Row],[Order Date]])</f>
        <v>2026</v>
      </c>
      <c r="P67" t="str">
        <f>TEXT(Table1[[#This Row],[Order Date]],"MMM")</f>
        <v>Jan</v>
      </c>
    </row>
    <row r="68" spans="1:16" x14ac:dyDescent="0.3">
      <c r="A68" t="s">
        <v>158</v>
      </c>
      <c r="B68" t="s">
        <v>159</v>
      </c>
      <c r="C68" t="s">
        <v>16</v>
      </c>
      <c r="D68" t="s">
        <v>17</v>
      </c>
      <c r="E68" t="s">
        <v>18</v>
      </c>
      <c r="F68" t="s">
        <v>19</v>
      </c>
      <c r="G68">
        <v>2</v>
      </c>
      <c r="H68">
        <v>33592</v>
      </c>
      <c r="I68">
        <v>21498</v>
      </c>
      <c r="J68">
        <v>10</v>
      </c>
      <c r="K68">
        <v>60465.599999999999</v>
      </c>
      <c r="L68">
        <v>24188</v>
      </c>
      <c r="M68" t="s">
        <v>20</v>
      </c>
      <c r="N68" t="s">
        <v>21</v>
      </c>
      <c r="O68">
        <f>YEAR(Table1[[#This Row],[Order Date]])</f>
        <v>2026</v>
      </c>
      <c r="P68" t="str">
        <f>TEXT(Table1[[#This Row],[Order Date]],"MMM")</f>
        <v>Feb</v>
      </c>
    </row>
    <row r="69" spans="1:16" x14ac:dyDescent="0.3">
      <c r="A69" t="s">
        <v>160</v>
      </c>
      <c r="B69" t="s">
        <v>161</v>
      </c>
      <c r="C69" t="s">
        <v>49</v>
      </c>
      <c r="D69" t="s">
        <v>45</v>
      </c>
      <c r="E69" t="s">
        <v>50</v>
      </c>
      <c r="F69" t="s">
        <v>19</v>
      </c>
      <c r="G69">
        <v>5</v>
      </c>
      <c r="H69">
        <v>3023</v>
      </c>
      <c r="I69">
        <v>1813</v>
      </c>
      <c r="J69">
        <v>20</v>
      </c>
      <c r="K69">
        <v>12092</v>
      </c>
      <c r="L69">
        <v>6050</v>
      </c>
      <c r="M69" t="s">
        <v>20</v>
      </c>
      <c r="N69" t="s">
        <v>33</v>
      </c>
      <c r="O69">
        <f>YEAR(Table1[[#This Row],[Order Date]])</f>
        <v>2026</v>
      </c>
      <c r="P69" t="str">
        <f>TEXT(Table1[[#This Row],[Order Date]],"MMM")</f>
        <v>Jan</v>
      </c>
    </row>
    <row r="70" spans="1:16" x14ac:dyDescent="0.3">
      <c r="A70" t="s">
        <v>162</v>
      </c>
      <c r="B70" t="s">
        <v>126</v>
      </c>
      <c r="C70" t="s">
        <v>71</v>
      </c>
      <c r="D70" t="s">
        <v>17</v>
      </c>
      <c r="E70" t="s">
        <v>72</v>
      </c>
      <c r="F70" t="s">
        <v>19</v>
      </c>
      <c r="G70">
        <v>1</v>
      </c>
      <c r="H70">
        <v>7409</v>
      </c>
      <c r="I70">
        <v>6001</v>
      </c>
      <c r="J70">
        <v>5</v>
      </c>
      <c r="K70">
        <v>7038.55</v>
      </c>
      <c r="L70">
        <v>1408</v>
      </c>
      <c r="M70" t="s">
        <v>32</v>
      </c>
      <c r="N70" t="s">
        <v>52</v>
      </c>
      <c r="O70">
        <f>YEAR(Table1[[#This Row],[Order Date]])</f>
        <v>2026</v>
      </c>
      <c r="P70" t="str">
        <f>TEXT(Table1[[#This Row],[Order Date]],"MMM")</f>
        <v>Jan</v>
      </c>
    </row>
    <row r="71" spans="1:16" x14ac:dyDescent="0.3">
      <c r="A71" t="s">
        <v>163</v>
      </c>
      <c r="B71" t="s">
        <v>80</v>
      </c>
      <c r="C71" t="s">
        <v>16</v>
      </c>
      <c r="D71" t="s">
        <v>17</v>
      </c>
      <c r="E71" t="s">
        <v>18</v>
      </c>
      <c r="F71" t="s">
        <v>31</v>
      </c>
      <c r="G71">
        <v>1</v>
      </c>
      <c r="H71">
        <v>9863</v>
      </c>
      <c r="I71">
        <v>8383</v>
      </c>
      <c r="J71">
        <v>20</v>
      </c>
      <c r="K71">
        <v>7890.4</v>
      </c>
      <c r="L71">
        <v>1480</v>
      </c>
      <c r="M71" t="s">
        <v>20</v>
      </c>
      <c r="N71" t="s">
        <v>21</v>
      </c>
      <c r="O71">
        <f>YEAR(Table1[[#This Row],[Order Date]])</f>
        <v>2026</v>
      </c>
      <c r="P71" t="str">
        <f>TEXT(Table1[[#This Row],[Order Date]],"MMM")</f>
        <v>Feb</v>
      </c>
    </row>
    <row r="72" spans="1:16" x14ac:dyDescent="0.3">
      <c r="A72" t="s">
        <v>164</v>
      </c>
      <c r="B72" t="s">
        <v>165</v>
      </c>
      <c r="C72" t="s">
        <v>81</v>
      </c>
      <c r="D72" t="s">
        <v>37</v>
      </c>
      <c r="E72" t="s">
        <v>82</v>
      </c>
      <c r="F72" t="s">
        <v>31</v>
      </c>
      <c r="G72">
        <v>1</v>
      </c>
      <c r="H72">
        <v>15708</v>
      </c>
      <c r="I72">
        <v>11466</v>
      </c>
      <c r="J72">
        <v>20</v>
      </c>
      <c r="K72">
        <v>12566.4</v>
      </c>
      <c r="L72">
        <v>4242</v>
      </c>
      <c r="M72" t="s">
        <v>28</v>
      </c>
      <c r="N72" t="s">
        <v>52</v>
      </c>
      <c r="O72">
        <f>YEAR(Table1[[#This Row],[Order Date]])</f>
        <v>2026</v>
      </c>
      <c r="P72" t="str">
        <f>TEXT(Table1[[#This Row],[Order Date]],"MMM")</f>
        <v>Mar</v>
      </c>
    </row>
    <row r="73" spans="1:16" x14ac:dyDescent="0.3">
      <c r="A73" t="s">
        <v>166</v>
      </c>
      <c r="B73" t="s">
        <v>30</v>
      </c>
      <c r="C73" t="s">
        <v>61</v>
      </c>
      <c r="D73" t="s">
        <v>45</v>
      </c>
      <c r="E73" t="s">
        <v>62</v>
      </c>
      <c r="F73" t="s">
        <v>51</v>
      </c>
      <c r="G73">
        <v>2</v>
      </c>
      <c r="H73">
        <v>43237</v>
      </c>
      <c r="I73">
        <v>28104</v>
      </c>
      <c r="J73">
        <v>0</v>
      </c>
      <c r="K73">
        <v>86474</v>
      </c>
      <c r="L73">
        <v>30266</v>
      </c>
      <c r="M73" t="s">
        <v>28</v>
      </c>
      <c r="N73" t="s">
        <v>33</v>
      </c>
      <c r="O73">
        <f>YEAR(Table1[[#This Row],[Order Date]])</f>
        <v>2026</v>
      </c>
      <c r="P73" t="str">
        <f>TEXT(Table1[[#This Row],[Order Date]],"MMM")</f>
        <v>Feb</v>
      </c>
    </row>
    <row r="74" spans="1:16" x14ac:dyDescent="0.3">
      <c r="A74" t="s">
        <v>167</v>
      </c>
      <c r="B74" t="s">
        <v>118</v>
      </c>
      <c r="C74" t="s">
        <v>36</v>
      </c>
      <c r="D74" t="s">
        <v>37</v>
      </c>
      <c r="E74" t="s">
        <v>38</v>
      </c>
      <c r="F74" t="s">
        <v>31</v>
      </c>
      <c r="G74">
        <v>1</v>
      </c>
      <c r="H74">
        <v>517</v>
      </c>
      <c r="I74">
        <v>372</v>
      </c>
      <c r="J74">
        <v>0</v>
      </c>
      <c r="K74">
        <v>517</v>
      </c>
      <c r="L74">
        <v>145</v>
      </c>
      <c r="M74" t="s">
        <v>28</v>
      </c>
      <c r="N74" t="s">
        <v>52</v>
      </c>
      <c r="O74">
        <f>YEAR(Table1[[#This Row],[Order Date]])</f>
        <v>2026</v>
      </c>
      <c r="P74" t="str">
        <f>TEXT(Table1[[#This Row],[Order Date]],"MMM")</f>
        <v>Mar</v>
      </c>
    </row>
    <row r="75" spans="1:16" x14ac:dyDescent="0.3">
      <c r="A75" t="s">
        <v>168</v>
      </c>
      <c r="B75" t="s">
        <v>60</v>
      </c>
      <c r="C75" t="s">
        <v>61</v>
      </c>
      <c r="D75" t="s">
        <v>45</v>
      </c>
      <c r="E75" t="s">
        <v>62</v>
      </c>
      <c r="F75" t="s">
        <v>31</v>
      </c>
      <c r="G75">
        <v>1</v>
      </c>
      <c r="H75">
        <v>36951</v>
      </c>
      <c r="I75">
        <v>22540</v>
      </c>
      <c r="J75">
        <v>20</v>
      </c>
      <c r="K75">
        <v>29560.799999999999</v>
      </c>
      <c r="L75">
        <v>14411</v>
      </c>
      <c r="M75" t="s">
        <v>20</v>
      </c>
      <c r="N75" t="s">
        <v>52</v>
      </c>
      <c r="O75">
        <f>YEAR(Table1[[#This Row],[Order Date]])</f>
        <v>2026</v>
      </c>
      <c r="P75" t="str">
        <f>TEXT(Table1[[#This Row],[Order Date]],"MMM")</f>
        <v>Jan</v>
      </c>
    </row>
    <row r="76" spans="1:16" x14ac:dyDescent="0.3">
      <c r="A76" t="s">
        <v>169</v>
      </c>
      <c r="B76" t="s">
        <v>170</v>
      </c>
      <c r="C76" t="s">
        <v>24</v>
      </c>
      <c r="D76" t="s">
        <v>25</v>
      </c>
      <c r="E76" t="s">
        <v>26</v>
      </c>
      <c r="F76" t="s">
        <v>27</v>
      </c>
      <c r="G76">
        <v>5</v>
      </c>
      <c r="H76">
        <v>28380</v>
      </c>
      <c r="I76">
        <v>23271</v>
      </c>
      <c r="J76">
        <v>10</v>
      </c>
      <c r="K76">
        <v>127710</v>
      </c>
      <c r="L76">
        <v>25545</v>
      </c>
      <c r="M76" t="s">
        <v>28</v>
      </c>
      <c r="N76" t="s">
        <v>52</v>
      </c>
      <c r="O76">
        <f>YEAR(Table1[[#This Row],[Order Date]])</f>
        <v>2026</v>
      </c>
      <c r="P76" t="str">
        <f>TEXT(Table1[[#This Row],[Order Date]],"MMM")</f>
        <v>Feb</v>
      </c>
    </row>
    <row r="77" spans="1:16" x14ac:dyDescent="0.3">
      <c r="A77" t="s">
        <v>171</v>
      </c>
      <c r="B77" t="s">
        <v>100</v>
      </c>
      <c r="C77" t="s">
        <v>49</v>
      </c>
      <c r="D77" t="s">
        <v>45</v>
      </c>
      <c r="E77" t="s">
        <v>50</v>
      </c>
      <c r="F77" t="s">
        <v>19</v>
      </c>
      <c r="G77">
        <v>5</v>
      </c>
      <c r="H77">
        <v>43846</v>
      </c>
      <c r="I77">
        <v>34199</v>
      </c>
      <c r="J77">
        <v>0</v>
      </c>
      <c r="K77">
        <v>219230</v>
      </c>
      <c r="L77">
        <v>48235</v>
      </c>
      <c r="M77" t="s">
        <v>32</v>
      </c>
      <c r="N77" t="s">
        <v>33</v>
      </c>
      <c r="O77">
        <f>YEAR(Table1[[#This Row],[Order Date]])</f>
        <v>2026</v>
      </c>
      <c r="P77" t="str">
        <f>TEXT(Table1[[#This Row],[Order Date]],"MMM")</f>
        <v>Mar</v>
      </c>
    </row>
    <row r="78" spans="1:16" x14ac:dyDescent="0.3">
      <c r="A78" t="s">
        <v>172</v>
      </c>
      <c r="B78" t="s">
        <v>173</v>
      </c>
      <c r="C78" t="s">
        <v>16</v>
      </c>
      <c r="D78" t="s">
        <v>17</v>
      </c>
      <c r="E78" t="s">
        <v>18</v>
      </c>
      <c r="F78" t="s">
        <v>51</v>
      </c>
      <c r="G78">
        <v>3</v>
      </c>
      <c r="H78">
        <v>30643</v>
      </c>
      <c r="I78">
        <v>25740</v>
      </c>
      <c r="J78">
        <v>20</v>
      </c>
      <c r="K78">
        <v>73543.199999999997</v>
      </c>
      <c r="L78">
        <v>14709</v>
      </c>
      <c r="M78" t="s">
        <v>20</v>
      </c>
      <c r="N78" t="s">
        <v>52</v>
      </c>
      <c r="O78">
        <f>YEAR(Table1[[#This Row],[Order Date]])</f>
        <v>2026</v>
      </c>
      <c r="P78" t="str">
        <f>TEXT(Table1[[#This Row],[Order Date]],"MMM")</f>
        <v>Feb</v>
      </c>
    </row>
    <row r="79" spans="1:16" x14ac:dyDescent="0.3">
      <c r="A79" t="s">
        <v>174</v>
      </c>
      <c r="B79" t="s">
        <v>175</v>
      </c>
      <c r="C79" t="s">
        <v>81</v>
      </c>
      <c r="D79" t="s">
        <v>37</v>
      </c>
      <c r="E79" t="s">
        <v>82</v>
      </c>
      <c r="F79" t="s">
        <v>31</v>
      </c>
      <c r="G79">
        <v>1</v>
      </c>
      <c r="H79">
        <v>44622</v>
      </c>
      <c r="I79">
        <v>30342</v>
      </c>
      <c r="J79">
        <v>5</v>
      </c>
      <c r="K79">
        <v>42390.9</v>
      </c>
      <c r="L79">
        <v>14280</v>
      </c>
      <c r="M79" t="s">
        <v>32</v>
      </c>
      <c r="N79" t="s">
        <v>52</v>
      </c>
      <c r="O79">
        <f>YEAR(Table1[[#This Row],[Order Date]])</f>
        <v>2026</v>
      </c>
      <c r="P79" t="str">
        <f>TEXT(Table1[[#This Row],[Order Date]],"MMM")</f>
        <v>Feb</v>
      </c>
    </row>
    <row r="80" spans="1:16" x14ac:dyDescent="0.3">
      <c r="A80" t="s">
        <v>176</v>
      </c>
      <c r="B80" t="s">
        <v>177</v>
      </c>
      <c r="C80" t="s">
        <v>49</v>
      </c>
      <c r="D80" t="s">
        <v>45</v>
      </c>
      <c r="E80" t="s">
        <v>50</v>
      </c>
      <c r="F80" t="s">
        <v>51</v>
      </c>
      <c r="G80">
        <v>1</v>
      </c>
      <c r="H80">
        <v>34489</v>
      </c>
      <c r="I80">
        <v>22072</v>
      </c>
      <c r="J80">
        <v>20</v>
      </c>
      <c r="K80">
        <v>27591.200000000001</v>
      </c>
      <c r="L80">
        <v>12417</v>
      </c>
      <c r="M80" t="s">
        <v>32</v>
      </c>
      <c r="N80" t="s">
        <v>52</v>
      </c>
      <c r="O80">
        <f>YEAR(Table1[[#This Row],[Order Date]])</f>
        <v>2026</v>
      </c>
      <c r="P80" t="str">
        <f>TEXT(Table1[[#This Row],[Order Date]],"MMM")</f>
        <v>Jan</v>
      </c>
    </row>
    <row r="81" spans="1:16" x14ac:dyDescent="0.3">
      <c r="A81" t="s">
        <v>178</v>
      </c>
      <c r="B81" t="s">
        <v>179</v>
      </c>
      <c r="C81" t="s">
        <v>71</v>
      </c>
      <c r="D81" t="s">
        <v>17</v>
      </c>
      <c r="E81" t="s">
        <v>72</v>
      </c>
      <c r="F81" t="s">
        <v>19</v>
      </c>
      <c r="G81">
        <v>2</v>
      </c>
      <c r="H81">
        <v>19280</v>
      </c>
      <c r="I81">
        <v>11760</v>
      </c>
      <c r="J81">
        <v>10</v>
      </c>
      <c r="K81">
        <v>34704</v>
      </c>
      <c r="L81">
        <v>15040</v>
      </c>
      <c r="M81" t="s">
        <v>32</v>
      </c>
      <c r="N81" t="s">
        <v>33</v>
      </c>
      <c r="O81">
        <f>YEAR(Table1[[#This Row],[Order Date]])</f>
        <v>2026</v>
      </c>
      <c r="P81" t="str">
        <f>TEXT(Table1[[#This Row],[Order Date]],"MMM")</f>
        <v>Mar</v>
      </c>
    </row>
    <row r="82" spans="1:16" x14ac:dyDescent="0.3">
      <c r="A82" t="s">
        <v>180</v>
      </c>
      <c r="B82" t="s">
        <v>181</v>
      </c>
      <c r="C82" t="s">
        <v>81</v>
      </c>
      <c r="D82" t="s">
        <v>37</v>
      </c>
      <c r="E82" t="s">
        <v>82</v>
      </c>
      <c r="F82" t="s">
        <v>27</v>
      </c>
      <c r="G82">
        <v>4</v>
      </c>
      <c r="H82">
        <v>19345</v>
      </c>
      <c r="I82">
        <v>14315</v>
      </c>
      <c r="J82">
        <v>20</v>
      </c>
      <c r="K82">
        <v>61904</v>
      </c>
      <c r="L82">
        <v>20120</v>
      </c>
      <c r="M82" t="s">
        <v>28</v>
      </c>
      <c r="N82" t="s">
        <v>33</v>
      </c>
      <c r="O82">
        <f>YEAR(Table1[[#This Row],[Order Date]])</f>
        <v>2026</v>
      </c>
      <c r="P82" t="str">
        <f>TEXT(Table1[[#This Row],[Order Date]],"MMM")</f>
        <v>Jan</v>
      </c>
    </row>
    <row r="83" spans="1:16" x14ac:dyDescent="0.3">
      <c r="A83" t="s">
        <v>182</v>
      </c>
      <c r="B83" t="s">
        <v>177</v>
      </c>
      <c r="C83" t="s">
        <v>24</v>
      </c>
      <c r="D83" t="s">
        <v>25</v>
      </c>
      <c r="E83" t="s">
        <v>26</v>
      </c>
      <c r="F83" t="s">
        <v>51</v>
      </c>
      <c r="G83">
        <v>5</v>
      </c>
      <c r="H83">
        <v>46067</v>
      </c>
      <c r="I83">
        <v>37774</v>
      </c>
      <c r="J83">
        <v>15</v>
      </c>
      <c r="K83">
        <v>195784.75</v>
      </c>
      <c r="L83">
        <v>41465</v>
      </c>
      <c r="M83" t="s">
        <v>32</v>
      </c>
      <c r="N83" t="s">
        <v>33</v>
      </c>
      <c r="O83">
        <f>YEAR(Table1[[#This Row],[Order Date]])</f>
        <v>2026</v>
      </c>
      <c r="P83" t="str">
        <f>TEXT(Table1[[#This Row],[Order Date]],"MMM")</f>
        <v>Jan</v>
      </c>
    </row>
    <row r="84" spans="1:16" x14ac:dyDescent="0.3">
      <c r="A84" t="s">
        <v>183</v>
      </c>
      <c r="B84" t="s">
        <v>184</v>
      </c>
      <c r="C84" t="s">
        <v>81</v>
      </c>
      <c r="D84" t="s">
        <v>37</v>
      </c>
      <c r="E84" t="s">
        <v>82</v>
      </c>
      <c r="F84" t="s">
        <v>27</v>
      </c>
      <c r="G84">
        <v>2</v>
      </c>
      <c r="H84">
        <v>49788</v>
      </c>
      <c r="I84">
        <v>41324</v>
      </c>
      <c r="J84">
        <v>15</v>
      </c>
      <c r="K84">
        <v>84639.6</v>
      </c>
      <c r="L84">
        <v>16928</v>
      </c>
      <c r="M84" t="s">
        <v>32</v>
      </c>
      <c r="N84" t="s">
        <v>52</v>
      </c>
      <c r="O84">
        <f>YEAR(Table1[[#This Row],[Order Date]])</f>
        <v>2026</v>
      </c>
      <c r="P84" t="str">
        <f>TEXT(Table1[[#This Row],[Order Date]],"MMM")</f>
        <v>Jan</v>
      </c>
    </row>
    <row r="85" spans="1:16" x14ac:dyDescent="0.3">
      <c r="A85" t="s">
        <v>185</v>
      </c>
      <c r="B85" t="s">
        <v>106</v>
      </c>
      <c r="C85" t="s">
        <v>16</v>
      </c>
      <c r="D85" t="s">
        <v>17</v>
      </c>
      <c r="E85" t="s">
        <v>18</v>
      </c>
      <c r="F85" t="s">
        <v>27</v>
      </c>
      <c r="G85">
        <v>4</v>
      </c>
      <c r="H85">
        <v>24874</v>
      </c>
      <c r="I85">
        <v>15421</v>
      </c>
      <c r="J85">
        <v>20</v>
      </c>
      <c r="K85">
        <v>79596.800000000003</v>
      </c>
      <c r="L85">
        <v>37812</v>
      </c>
      <c r="M85" t="s">
        <v>20</v>
      </c>
      <c r="N85" t="s">
        <v>52</v>
      </c>
      <c r="O85">
        <f>YEAR(Table1[[#This Row],[Order Date]])</f>
        <v>2026</v>
      </c>
      <c r="P85" t="str">
        <f>TEXT(Table1[[#This Row],[Order Date]],"MMM")</f>
        <v>Jan</v>
      </c>
    </row>
    <row r="86" spans="1:16" x14ac:dyDescent="0.3">
      <c r="A86" t="s">
        <v>186</v>
      </c>
      <c r="B86" t="s">
        <v>179</v>
      </c>
      <c r="C86" t="s">
        <v>44</v>
      </c>
      <c r="D86" t="s">
        <v>45</v>
      </c>
      <c r="E86" t="s">
        <v>46</v>
      </c>
      <c r="F86" t="s">
        <v>31</v>
      </c>
      <c r="G86">
        <v>4</v>
      </c>
      <c r="H86">
        <v>34469</v>
      </c>
      <c r="I86">
        <v>21026</v>
      </c>
      <c r="J86">
        <v>15</v>
      </c>
      <c r="K86">
        <v>117194.6</v>
      </c>
      <c r="L86">
        <v>53772</v>
      </c>
      <c r="M86" t="s">
        <v>20</v>
      </c>
      <c r="N86" t="s">
        <v>21</v>
      </c>
      <c r="O86">
        <f>YEAR(Table1[[#This Row],[Order Date]])</f>
        <v>2026</v>
      </c>
      <c r="P86" t="str">
        <f>TEXT(Table1[[#This Row],[Order Date]],"MMM")</f>
        <v>Mar</v>
      </c>
    </row>
    <row r="87" spans="1:16" x14ac:dyDescent="0.3">
      <c r="A87" t="s">
        <v>187</v>
      </c>
      <c r="B87" t="s">
        <v>118</v>
      </c>
      <c r="C87" t="s">
        <v>57</v>
      </c>
      <c r="D87" t="s">
        <v>46</v>
      </c>
      <c r="E87" t="s">
        <v>58</v>
      </c>
      <c r="F87" t="s">
        <v>19</v>
      </c>
      <c r="G87">
        <v>3</v>
      </c>
      <c r="H87">
        <v>2023</v>
      </c>
      <c r="I87">
        <v>1497</v>
      </c>
      <c r="J87">
        <v>15</v>
      </c>
      <c r="K87">
        <v>5158.6499999999996</v>
      </c>
      <c r="L87">
        <v>1578</v>
      </c>
      <c r="M87" t="s">
        <v>20</v>
      </c>
      <c r="N87" t="s">
        <v>21</v>
      </c>
      <c r="O87">
        <f>YEAR(Table1[[#This Row],[Order Date]])</f>
        <v>2026</v>
      </c>
      <c r="P87" t="str">
        <f>TEXT(Table1[[#This Row],[Order Date]],"MMM")</f>
        <v>Mar</v>
      </c>
    </row>
    <row r="88" spans="1:16" x14ac:dyDescent="0.3">
      <c r="A88" t="s">
        <v>188</v>
      </c>
      <c r="B88" t="s">
        <v>189</v>
      </c>
      <c r="C88" t="s">
        <v>36</v>
      </c>
      <c r="D88" t="s">
        <v>37</v>
      </c>
      <c r="E88" t="s">
        <v>38</v>
      </c>
      <c r="F88" t="s">
        <v>31</v>
      </c>
      <c r="G88">
        <v>3</v>
      </c>
      <c r="H88">
        <v>17222</v>
      </c>
      <c r="I88">
        <v>10677</v>
      </c>
      <c r="J88">
        <v>0</v>
      </c>
      <c r="K88">
        <v>51666</v>
      </c>
      <c r="L88">
        <v>19635</v>
      </c>
      <c r="M88" t="s">
        <v>32</v>
      </c>
      <c r="N88" t="s">
        <v>21</v>
      </c>
      <c r="O88">
        <f>YEAR(Table1[[#This Row],[Order Date]])</f>
        <v>2026</v>
      </c>
      <c r="P88" t="str">
        <f>TEXT(Table1[[#This Row],[Order Date]],"MMM")</f>
        <v>Mar</v>
      </c>
    </row>
    <row r="89" spans="1:16" x14ac:dyDescent="0.3">
      <c r="A89" t="s">
        <v>190</v>
      </c>
      <c r="B89" t="s">
        <v>191</v>
      </c>
      <c r="C89" t="s">
        <v>44</v>
      </c>
      <c r="D89" t="s">
        <v>45</v>
      </c>
      <c r="E89" t="s">
        <v>46</v>
      </c>
      <c r="F89" t="s">
        <v>27</v>
      </c>
      <c r="G89">
        <v>3</v>
      </c>
      <c r="H89">
        <v>14273</v>
      </c>
      <c r="I89">
        <v>12132</v>
      </c>
      <c r="J89">
        <v>15</v>
      </c>
      <c r="K89">
        <v>36396.15</v>
      </c>
      <c r="L89">
        <v>6423</v>
      </c>
      <c r="M89" t="s">
        <v>28</v>
      </c>
      <c r="N89" t="s">
        <v>21</v>
      </c>
      <c r="O89">
        <f>YEAR(Table1[[#This Row],[Order Date]])</f>
        <v>2026</v>
      </c>
      <c r="P89" t="str">
        <f>TEXT(Table1[[#This Row],[Order Date]],"MMM")</f>
        <v>Jan</v>
      </c>
    </row>
    <row r="90" spans="1:16" x14ac:dyDescent="0.3">
      <c r="A90" t="s">
        <v>192</v>
      </c>
      <c r="B90" t="s">
        <v>147</v>
      </c>
      <c r="C90" t="s">
        <v>24</v>
      </c>
      <c r="D90" t="s">
        <v>25</v>
      </c>
      <c r="E90" t="s">
        <v>26</v>
      </c>
      <c r="F90" t="s">
        <v>31</v>
      </c>
      <c r="G90">
        <v>1</v>
      </c>
      <c r="H90">
        <v>27039</v>
      </c>
      <c r="I90">
        <v>22712</v>
      </c>
      <c r="J90">
        <v>5</v>
      </c>
      <c r="K90">
        <v>25687.05</v>
      </c>
      <c r="L90">
        <v>4327</v>
      </c>
      <c r="M90" t="s">
        <v>39</v>
      </c>
      <c r="N90" t="s">
        <v>33</v>
      </c>
      <c r="O90">
        <f>YEAR(Table1[[#This Row],[Order Date]])</f>
        <v>2026</v>
      </c>
      <c r="P90" t="str">
        <f>TEXT(Table1[[#This Row],[Order Date]],"MMM")</f>
        <v>Jan</v>
      </c>
    </row>
    <row r="91" spans="1:16" x14ac:dyDescent="0.3">
      <c r="A91" t="s">
        <v>193</v>
      </c>
      <c r="B91" t="s">
        <v>194</v>
      </c>
      <c r="C91" t="s">
        <v>36</v>
      </c>
      <c r="D91" t="s">
        <v>37</v>
      </c>
      <c r="E91" t="s">
        <v>38</v>
      </c>
      <c r="F91" t="s">
        <v>19</v>
      </c>
      <c r="G91">
        <v>5</v>
      </c>
      <c r="H91">
        <v>28159</v>
      </c>
      <c r="I91">
        <v>17458</v>
      </c>
      <c r="J91">
        <v>10</v>
      </c>
      <c r="K91">
        <v>126715.5</v>
      </c>
      <c r="L91">
        <v>53505</v>
      </c>
      <c r="M91" t="s">
        <v>32</v>
      </c>
      <c r="N91" t="s">
        <v>52</v>
      </c>
      <c r="O91">
        <f>YEAR(Table1[[#This Row],[Order Date]])</f>
        <v>2026</v>
      </c>
      <c r="P91" t="str">
        <f>TEXT(Table1[[#This Row],[Order Date]],"MMM")</f>
        <v>Mar</v>
      </c>
    </row>
    <row r="92" spans="1:16" x14ac:dyDescent="0.3">
      <c r="A92" t="s">
        <v>195</v>
      </c>
      <c r="B92" t="s">
        <v>112</v>
      </c>
      <c r="C92" t="s">
        <v>71</v>
      </c>
      <c r="D92" t="s">
        <v>17</v>
      </c>
      <c r="E92" t="s">
        <v>72</v>
      </c>
      <c r="F92" t="s">
        <v>51</v>
      </c>
      <c r="G92">
        <v>4</v>
      </c>
      <c r="H92">
        <v>26800</v>
      </c>
      <c r="I92">
        <v>17152</v>
      </c>
      <c r="J92">
        <v>0</v>
      </c>
      <c r="K92">
        <v>107200</v>
      </c>
      <c r="L92">
        <v>38592</v>
      </c>
      <c r="M92" t="s">
        <v>39</v>
      </c>
      <c r="N92" t="s">
        <v>21</v>
      </c>
      <c r="O92">
        <f>YEAR(Table1[[#This Row],[Order Date]])</f>
        <v>2026</v>
      </c>
      <c r="P92" t="str">
        <f>TEXT(Table1[[#This Row],[Order Date]],"MMM")</f>
        <v>Mar</v>
      </c>
    </row>
    <row r="93" spans="1:16" x14ac:dyDescent="0.3">
      <c r="A93" t="s">
        <v>196</v>
      </c>
      <c r="B93" t="s">
        <v>35</v>
      </c>
      <c r="C93" t="s">
        <v>44</v>
      </c>
      <c r="D93" t="s">
        <v>45</v>
      </c>
      <c r="E93" t="s">
        <v>46</v>
      </c>
      <c r="F93" t="s">
        <v>31</v>
      </c>
      <c r="G93">
        <v>4</v>
      </c>
      <c r="H93">
        <v>20923</v>
      </c>
      <c r="I93">
        <v>17575</v>
      </c>
      <c r="J93">
        <v>5</v>
      </c>
      <c r="K93">
        <v>79507.399999999994</v>
      </c>
      <c r="L93">
        <v>13392</v>
      </c>
      <c r="M93" t="s">
        <v>32</v>
      </c>
      <c r="N93" t="s">
        <v>21</v>
      </c>
      <c r="O93">
        <f>YEAR(Table1[[#This Row],[Order Date]])</f>
        <v>2026</v>
      </c>
      <c r="P93" t="str">
        <f>TEXT(Table1[[#This Row],[Order Date]],"MMM")</f>
        <v>Feb</v>
      </c>
    </row>
    <row r="94" spans="1:16" x14ac:dyDescent="0.3">
      <c r="A94" t="s">
        <v>197</v>
      </c>
      <c r="B94" t="s">
        <v>198</v>
      </c>
      <c r="C94" t="s">
        <v>71</v>
      </c>
      <c r="D94" t="s">
        <v>17</v>
      </c>
      <c r="E94" t="s">
        <v>72</v>
      </c>
      <c r="F94" t="s">
        <v>27</v>
      </c>
      <c r="G94">
        <v>5</v>
      </c>
      <c r="H94">
        <v>10706</v>
      </c>
      <c r="I94">
        <v>6530</v>
      </c>
      <c r="J94">
        <v>0</v>
      </c>
      <c r="K94">
        <v>53530</v>
      </c>
      <c r="L94">
        <v>20880</v>
      </c>
      <c r="M94" t="s">
        <v>28</v>
      </c>
      <c r="N94" t="s">
        <v>52</v>
      </c>
      <c r="O94">
        <f>YEAR(Table1[[#This Row],[Order Date]])</f>
        <v>2026</v>
      </c>
      <c r="P94" t="str">
        <f>TEXT(Table1[[#This Row],[Order Date]],"MMM")</f>
        <v>Mar</v>
      </c>
    </row>
    <row r="95" spans="1:16" x14ac:dyDescent="0.3">
      <c r="A95" t="s">
        <v>199</v>
      </c>
      <c r="B95" t="s">
        <v>15</v>
      </c>
      <c r="C95" t="s">
        <v>16</v>
      </c>
      <c r="D95" t="s">
        <v>17</v>
      </c>
      <c r="E95" t="s">
        <v>18</v>
      </c>
      <c r="F95" t="s">
        <v>19</v>
      </c>
      <c r="G95">
        <v>1</v>
      </c>
      <c r="H95">
        <v>49302</v>
      </c>
      <c r="I95">
        <v>38455</v>
      </c>
      <c r="J95">
        <v>20</v>
      </c>
      <c r="K95">
        <v>39441.599999999999</v>
      </c>
      <c r="L95">
        <v>10847</v>
      </c>
      <c r="M95" t="s">
        <v>32</v>
      </c>
      <c r="N95" t="s">
        <v>33</v>
      </c>
      <c r="O95">
        <f>YEAR(Table1[[#This Row],[Order Date]])</f>
        <v>2026</v>
      </c>
      <c r="P95" t="str">
        <f>TEXT(Table1[[#This Row],[Order Date]],"MMM")</f>
        <v>Feb</v>
      </c>
    </row>
    <row r="96" spans="1:16" x14ac:dyDescent="0.3">
      <c r="A96" t="s">
        <v>200</v>
      </c>
      <c r="B96" t="s">
        <v>90</v>
      </c>
      <c r="C96" t="s">
        <v>36</v>
      </c>
      <c r="D96" t="s">
        <v>37</v>
      </c>
      <c r="E96" t="s">
        <v>38</v>
      </c>
      <c r="F96" t="s">
        <v>27</v>
      </c>
      <c r="G96">
        <v>4</v>
      </c>
      <c r="H96">
        <v>28780</v>
      </c>
      <c r="I96">
        <v>23599</v>
      </c>
      <c r="J96">
        <v>15</v>
      </c>
      <c r="K96">
        <v>97852</v>
      </c>
      <c r="L96">
        <v>20724</v>
      </c>
      <c r="M96" t="s">
        <v>20</v>
      </c>
      <c r="N96" t="s">
        <v>21</v>
      </c>
      <c r="O96">
        <f>YEAR(Table1[[#This Row],[Order Date]])</f>
        <v>2026</v>
      </c>
      <c r="P96" t="str">
        <f>TEXT(Table1[[#This Row],[Order Date]],"MMM")</f>
        <v>Feb</v>
      </c>
    </row>
    <row r="97" spans="1:16" x14ac:dyDescent="0.3">
      <c r="A97" t="s">
        <v>201</v>
      </c>
      <c r="B97" t="s">
        <v>94</v>
      </c>
      <c r="C97" t="s">
        <v>36</v>
      </c>
      <c r="D97" t="s">
        <v>37</v>
      </c>
      <c r="E97" t="s">
        <v>38</v>
      </c>
      <c r="F97" t="s">
        <v>27</v>
      </c>
      <c r="G97">
        <v>4</v>
      </c>
      <c r="H97">
        <v>26968</v>
      </c>
      <c r="I97">
        <v>19416</v>
      </c>
      <c r="J97">
        <v>15</v>
      </c>
      <c r="K97">
        <v>91691.199999999997</v>
      </c>
      <c r="L97">
        <v>30208</v>
      </c>
      <c r="M97" t="s">
        <v>39</v>
      </c>
      <c r="N97" t="s">
        <v>52</v>
      </c>
      <c r="O97">
        <f>YEAR(Table1[[#This Row],[Order Date]])</f>
        <v>2026</v>
      </c>
      <c r="P97" t="str">
        <f>TEXT(Table1[[#This Row],[Order Date]],"MMM")</f>
        <v>Jan</v>
      </c>
    </row>
    <row r="98" spans="1:16" x14ac:dyDescent="0.3">
      <c r="A98" t="s">
        <v>202</v>
      </c>
      <c r="B98" t="s">
        <v>203</v>
      </c>
      <c r="C98" t="s">
        <v>49</v>
      </c>
      <c r="D98" t="s">
        <v>45</v>
      </c>
      <c r="E98" t="s">
        <v>50</v>
      </c>
      <c r="F98" t="s">
        <v>51</v>
      </c>
      <c r="G98">
        <v>5</v>
      </c>
      <c r="H98">
        <v>31608</v>
      </c>
      <c r="I98">
        <v>19913</v>
      </c>
      <c r="J98">
        <v>15</v>
      </c>
      <c r="K98">
        <v>134334</v>
      </c>
      <c r="L98">
        <v>58475</v>
      </c>
      <c r="M98" t="s">
        <v>20</v>
      </c>
      <c r="N98" t="s">
        <v>21</v>
      </c>
      <c r="O98">
        <f>YEAR(Table1[[#This Row],[Order Date]])</f>
        <v>2026</v>
      </c>
      <c r="P98" t="str">
        <f>TEXT(Table1[[#This Row],[Order Date]],"MMM")</f>
        <v>Feb</v>
      </c>
    </row>
    <row r="99" spans="1:16" x14ac:dyDescent="0.3">
      <c r="A99" t="s">
        <v>204</v>
      </c>
      <c r="B99" t="s">
        <v>205</v>
      </c>
      <c r="C99" t="s">
        <v>44</v>
      </c>
      <c r="D99" t="s">
        <v>45</v>
      </c>
      <c r="E99" t="s">
        <v>46</v>
      </c>
      <c r="F99" t="s">
        <v>51</v>
      </c>
      <c r="G99">
        <v>2</v>
      </c>
      <c r="H99">
        <v>23363</v>
      </c>
      <c r="I99">
        <v>14017</v>
      </c>
      <c r="J99">
        <v>0</v>
      </c>
      <c r="K99">
        <v>46726</v>
      </c>
      <c r="L99">
        <v>18692</v>
      </c>
      <c r="M99" t="s">
        <v>28</v>
      </c>
      <c r="N99" t="s">
        <v>21</v>
      </c>
      <c r="O99">
        <f>YEAR(Table1[[#This Row],[Order Date]])</f>
        <v>2026</v>
      </c>
      <c r="P99" t="str">
        <f>TEXT(Table1[[#This Row],[Order Date]],"MMM")</f>
        <v>Jan</v>
      </c>
    </row>
    <row r="100" spans="1:16" x14ac:dyDescent="0.3">
      <c r="A100" t="s">
        <v>206</v>
      </c>
      <c r="B100" t="s">
        <v>181</v>
      </c>
      <c r="C100" t="s">
        <v>67</v>
      </c>
      <c r="D100" t="s">
        <v>46</v>
      </c>
      <c r="E100" t="s">
        <v>68</v>
      </c>
      <c r="F100" t="s">
        <v>27</v>
      </c>
      <c r="G100">
        <v>2</v>
      </c>
      <c r="H100">
        <v>37182</v>
      </c>
      <c r="I100">
        <v>29001</v>
      </c>
      <c r="J100">
        <v>5</v>
      </c>
      <c r="K100">
        <v>70645.8</v>
      </c>
      <c r="L100">
        <v>16362</v>
      </c>
      <c r="M100" t="s">
        <v>39</v>
      </c>
      <c r="N100" t="s">
        <v>52</v>
      </c>
      <c r="O100">
        <f>YEAR(Table1[[#This Row],[Order Date]])</f>
        <v>2026</v>
      </c>
      <c r="P100" t="str">
        <f>TEXT(Table1[[#This Row],[Order Date]],"MMM")</f>
        <v>Jan</v>
      </c>
    </row>
  </sheetData>
  <pageMargins left="0.75" right="0.75" top="1" bottom="1" header="0.5" footer="0.5"/>
  <ignoredErrors>
    <ignoredError sqref="P90 P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120" zoomScaleNormal="120" workbookViewId="0">
      <selection activeCell="U18" sqref="U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table1</vt:lpstr>
      <vt:lpstr>Amazon Sales Data</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2026-03-28T07:09:13Z</dcterms:created>
  <dcterms:modified xsi:type="dcterms:W3CDTF">2026-09-19T06:34:41Z</dcterms:modified>
</cp:coreProperties>
</file>