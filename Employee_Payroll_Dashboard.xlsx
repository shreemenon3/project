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8" yWindow="-108" windowWidth="19416" windowHeight="11496" activeTab="1"/>
  </bookViews>
  <sheets>
    <sheet name="PIVOT TABLE" sheetId="2" r:id="rId1"/>
    <sheet name="DASHBOARD" sheetId="3" r:id="rId2"/>
    <sheet name="Employees" sheetId="1" r:id="rId3"/>
  </sheets>
  <definedNames>
    <definedName name="Slicer_Department">#N/A</definedName>
    <definedName name="Slicer_Job_Role">#N/A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1" i="2" l="1"/>
  <c r="I17" i="2"/>
  <c r="I28" i="2"/>
</calcChain>
</file>

<file path=xl/sharedStrings.xml><?xml version="1.0" encoding="utf-8"?>
<sst xmlns="http://schemas.openxmlformats.org/spreadsheetml/2006/main" count="334" uniqueCount="113">
  <si>
    <t>Employee ID</t>
  </si>
  <si>
    <t>Employee Name</t>
  </si>
  <si>
    <t>Age</t>
  </si>
  <si>
    <t>Experience (Years)</t>
  </si>
  <si>
    <t>Job Role</t>
  </si>
  <si>
    <t>Department</t>
  </si>
  <si>
    <t>Reporting Manager</t>
  </si>
  <si>
    <t>Salary (₹)</t>
  </si>
  <si>
    <t>Salary Paid (Yes/No)</t>
  </si>
  <si>
    <t>EMP001</t>
  </si>
  <si>
    <t>Anjali</t>
  </si>
  <si>
    <t>Accounts Trainee</t>
  </si>
  <si>
    <t>Taxation</t>
  </si>
  <si>
    <t>Partner</t>
  </si>
  <si>
    <t>No</t>
  </si>
  <si>
    <t>EMP002</t>
  </si>
  <si>
    <t>Rahul</t>
  </si>
  <si>
    <t>Audit Assistant</t>
  </si>
  <si>
    <t>Finance</t>
  </si>
  <si>
    <t>Tax Manager</t>
  </si>
  <si>
    <t>Yes</t>
  </si>
  <si>
    <t>EMP003</t>
  </si>
  <si>
    <t>Arjun</t>
  </si>
  <si>
    <t>Accounts Executive</t>
  </si>
  <si>
    <t>Accounts</t>
  </si>
  <si>
    <t>Finance Manager</t>
  </si>
  <si>
    <t>EMP004</t>
  </si>
  <si>
    <t>Neha</t>
  </si>
  <si>
    <t>Senior Accountant</t>
  </si>
  <si>
    <t>EMP005</t>
  </si>
  <si>
    <t>Vishnu</t>
  </si>
  <si>
    <t>Audit Manager</t>
  </si>
  <si>
    <t>EMP006</t>
  </si>
  <si>
    <t>Priya</t>
  </si>
  <si>
    <t>Internal Auditor</t>
  </si>
  <si>
    <t>EMP007</t>
  </si>
  <si>
    <t>Sneha</t>
  </si>
  <si>
    <t>EMP008</t>
  </si>
  <si>
    <t>Kiran</t>
  </si>
  <si>
    <t>EMP009</t>
  </si>
  <si>
    <t>Akhil</t>
  </si>
  <si>
    <t>Tax Consultant</t>
  </si>
  <si>
    <t>Audit</t>
  </si>
  <si>
    <t>EMP010</t>
  </si>
  <si>
    <t>Meera</t>
  </si>
  <si>
    <t>EMP011</t>
  </si>
  <si>
    <t>Deepak</t>
  </si>
  <si>
    <t>EMP012</t>
  </si>
  <si>
    <t>Riya</t>
  </si>
  <si>
    <t>EMP013</t>
  </si>
  <si>
    <t>Manu</t>
  </si>
  <si>
    <t>EMP014</t>
  </si>
  <si>
    <t>Divya</t>
  </si>
  <si>
    <t>EMP015</t>
  </si>
  <si>
    <t>Arathi</t>
  </si>
  <si>
    <t>GST Analyst</t>
  </si>
  <si>
    <t>EMP016</t>
  </si>
  <si>
    <t>Sanjay</t>
  </si>
  <si>
    <t>EMP017</t>
  </si>
  <si>
    <t>Reshma</t>
  </si>
  <si>
    <t>EMP018</t>
  </si>
  <si>
    <t>Nikhil</t>
  </si>
  <si>
    <t>EMP019</t>
  </si>
  <si>
    <t>Greeshma</t>
  </si>
  <si>
    <t>EMP020</t>
  </si>
  <si>
    <t>Abhinav</t>
  </si>
  <si>
    <t>EMP021</t>
  </si>
  <si>
    <t>Anoop</t>
  </si>
  <si>
    <t>EMP022</t>
  </si>
  <si>
    <t>Lekha</t>
  </si>
  <si>
    <t>EMP023</t>
  </si>
  <si>
    <t>Varun</t>
  </si>
  <si>
    <t>EMP024</t>
  </si>
  <si>
    <t>Nimisha</t>
  </si>
  <si>
    <t>EMP025</t>
  </si>
  <si>
    <t>Adarsh</t>
  </si>
  <si>
    <t>EMP026</t>
  </si>
  <si>
    <t>Fathima</t>
  </si>
  <si>
    <t>Senior Auditor</t>
  </si>
  <si>
    <t>EMP027</t>
  </si>
  <si>
    <t>Jithin</t>
  </si>
  <si>
    <t>EMP028</t>
  </si>
  <si>
    <t>Keerthi</t>
  </si>
  <si>
    <t>EMP029</t>
  </si>
  <si>
    <t>Naveen</t>
  </si>
  <si>
    <t>EMP030</t>
  </si>
  <si>
    <t>Pooja</t>
  </si>
  <si>
    <t>EMP031</t>
  </si>
  <si>
    <t>Rohit</t>
  </si>
  <si>
    <t>EMP032</t>
  </si>
  <si>
    <t>Sreya</t>
  </si>
  <si>
    <t>EMP033</t>
  </si>
  <si>
    <t>Tejas</t>
  </si>
  <si>
    <t>EMP034</t>
  </si>
  <si>
    <t>Umesh</t>
  </si>
  <si>
    <t>EMP035</t>
  </si>
  <si>
    <t>Vivek</t>
  </si>
  <si>
    <t>EMP036</t>
  </si>
  <si>
    <t>Anu</t>
  </si>
  <si>
    <t>EMP037</t>
  </si>
  <si>
    <t>Basil</t>
  </si>
  <si>
    <t>EMP038</t>
  </si>
  <si>
    <t>Christy</t>
  </si>
  <si>
    <t>EMP039</t>
  </si>
  <si>
    <t>Dileep</t>
  </si>
  <si>
    <t>EMP040</t>
  </si>
  <si>
    <t>Esha</t>
  </si>
  <si>
    <t>Count of Employee Name</t>
  </si>
  <si>
    <t>Sum of Salary (₹)</t>
  </si>
  <si>
    <t>Row Labels</t>
  </si>
  <si>
    <t>Grand Total</t>
  </si>
  <si>
    <t>Sum of Experience (Years)</t>
  </si>
  <si>
    <t>Count of Job Role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</si>
</sst>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
    <dxf>
      <fill>
        <patternFill>
          <bgColor theme="6" tint="0.39994506668294322"/>
        </patternFill>
      </fill>
    </dxf>
    <dxf>
      <font>
        <color theme="1"/>
      </font>
      <fill>
        <patternFill>
          <bgColor theme="6" tint="0.59996337778862885"/>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dataset (2).xlsx]PIVOT TABLE!PivotTable1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925373134328368"/>
              <c:y val="2.33463035019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52736318407963E-2"/>
              <c:y val="7.7821011673151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925373134328368"/>
              <c:y val="2.3346303501945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52736318407963E-2"/>
              <c:y val="7.7821011673151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925373134328368"/>
              <c:y val="2.3346303501945453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9.452736318407963E-2"/>
              <c:y val="7.7821011673151752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401-46D3-ADAF-207F0ADEBAF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401-46D3-ADAF-207F0ADEBAFA}"/>
              </c:ext>
            </c:extLst>
          </c:dPt>
          <c:dLbls>
            <c:dLbl>
              <c:idx val="0"/>
              <c:layout>
                <c:manualLayout>
                  <c:x val="0.14925373134328368"/>
                  <c:y val="2.3346303501945453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9.452736318407963E-2"/>
                  <c:y val="7.7821011673151752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TABLE'!$A$4:$A$6</c:f>
              <c:strCache>
                <c:ptCount val="2"/>
                <c:pt idx="0">
                  <c:v>No</c:v>
                </c:pt>
                <c:pt idx="1">
                  <c:v>Yes</c:v>
                </c:pt>
              </c:strCache>
            </c:strRef>
          </c:cat>
          <c:val>
            <c:numRef>
              <c:f>'PIVOT TABLE'!$B$4:$B$6</c:f>
              <c:numCache>
                <c:formatCode>General</c:formatCode>
                <c:ptCount val="2"/>
                <c:pt idx="0">
                  <c:v>20</c:v>
                </c:pt>
                <c:pt idx="1">
                  <c:v>20</c:v>
                </c:pt>
              </c:numCache>
            </c:numRef>
          </c:val>
          <c:extLst xmlns:c16r2="http://schemas.microsoft.com/office/drawing/2015/06/chart">
            <c:ext xmlns:c16="http://schemas.microsoft.com/office/drawing/2014/chart" uri="{C3380CC4-5D6E-409C-BE32-E72D297353CC}">
              <c16:uniqueId val="{00000004-2401-46D3-ADAF-207F0ADEBA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dataset (2).xlsx]PIVOT TABLE!PivotTable2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lumMod val="60000"/>
            </a:schemeClr>
          </a:solidFill>
          <a:ln w="19050">
            <a:solidFill>
              <a:schemeClr val="lt1"/>
            </a:solidFill>
          </a:ln>
          <a:effectLst/>
        </c:spPr>
        <c:dLbl>
          <c:idx val="0"/>
          <c:layout>
            <c:manualLayout>
              <c:x val="2.9198818897637795E-2"/>
              <c:y val="-1.909339457567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2.6373359580052495E-2"/>
              <c:y val="-1.48735053951588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3">
              <a:lumMod val="60000"/>
            </a:schemeClr>
          </a:solidFill>
          <a:ln w="19050">
            <a:solidFill>
              <a:schemeClr val="lt1"/>
            </a:solidFill>
          </a:ln>
          <a:effectLst/>
        </c:spPr>
        <c:dLbl>
          <c:idx val="0"/>
          <c:layout>
            <c:manualLayout>
              <c:x val="-1.5559492563429572E-2"/>
              <c:y val="-5.6119860017497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9133858267716539E-3"/>
              <c:y val="9.31867891513560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3.888888888888889E-2"/>
              <c:y val="2.6238699329250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6.25E-2"/>
                  <c:h val="0.14004629629629631"/>
                </c:manualLayout>
              </c15:layout>
            </c:ext>
          </c:extLst>
        </c:dLbl>
      </c:pivotFmt>
      <c:pivotFmt>
        <c:idx val="6"/>
        <c:spPr>
          <a:solidFill>
            <a:schemeClr val="accent3"/>
          </a:solidFill>
          <a:ln w="19050">
            <a:solidFill>
              <a:schemeClr val="lt1"/>
            </a:solidFill>
          </a:ln>
          <a:effectLst/>
        </c:spPr>
        <c:dLbl>
          <c:idx val="0"/>
          <c:layout>
            <c:manualLayout>
              <c:x val="0.10833333333333334"/>
              <c:y val="-6.20224555263925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5.9722222222222225E-2"/>
                  <c:h val="6.25E-2"/>
                </c:manualLayout>
              </c15:layout>
            </c:ext>
          </c:extLst>
        </c:dLbl>
      </c:pivotFmt>
      <c:pivotFmt>
        <c:idx val="7"/>
        <c:spPr>
          <a:solidFill>
            <a:schemeClr val="accent4"/>
          </a:solidFill>
          <a:ln w="19050">
            <a:solidFill>
              <a:schemeClr val="lt1"/>
            </a:solidFill>
          </a:ln>
          <a:effectLst/>
        </c:spPr>
        <c:dLbl>
          <c:idx val="0"/>
          <c:layout>
            <c:manualLayout>
              <c:x val="1.290923009623797E-2"/>
              <c:y val="1.2914843977836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9.9505686789151358E-3"/>
              <c:y val="2.3221420239136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4.1053587051618545E-2"/>
              <c:y val="-9.58479148439778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9133858267716539E-3"/>
              <c:y val="9.31867891513560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888888888888889E-2"/>
              <c:y val="2.6238699329250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6.25E-2"/>
                  <c:h val="0.14004629629629631"/>
                </c:manualLayout>
              </c15:layout>
            </c:ext>
          </c:extLst>
        </c:dLbl>
      </c:pivotFmt>
      <c:pivotFmt>
        <c:idx val="13"/>
        <c:spPr>
          <a:solidFill>
            <a:schemeClr val="accent1"/>
          </a:solidFill>
          <a:ln w="19050">
            <a:solidFill>
              <a:schemeClr val="lt1"/>
            </a:solidFill>
          </a:ln>
          <a:effectLst/>
        </c:spPr>
        <c:dLbl>
          <c:idx val="0"/>
          <c:layout>
            <c:manualLayout>
              <c:x val="0.10833333333333334"/>
              <c:y val="-6.20224555263925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5.9722222222222225E-2"/>
                  <c:h val="6.25E-2"/>
                </c:manualLayout>
              </c15:layout>
            </c:ext>
          </c:extLst>
        </c:dLbl>
      </c:pivotFmt>
      <c:pivotFmt>
        <c:idx val="14"/>
        <c:spPr>
          <a:solidFill>
            <a:schemeClr val="accent1"/>
          </a:solidFill>
          <a:ln w="19050">
            <a:solidFill>
              <a:schemeClr val="lt1"/>
            </a:solidFill>
          </a:ln>
          <a:effectLst/>
        </c:spPr>
        <c:dLbl>
          <c:idx val="0"/>
          <c:layout>
            <c:manualLayout>
              <c:x val="1.290923009623797E-2"/>
              <c:y val="1.2914843977836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9505686789151358E-3"/>
              <c:y val="2.3221420239136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4.1053587051618545E-2"/>
              <c:y val="-9.58479148439778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2.6373359580052495E-2"/>
              <c:y val="-1.48735053951588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1.5559492563429572E-2"/>
              <c:y val="-5.6119860017497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2.9198818897637795E-2"/>
              <c:y val="-1.909339457567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4.9133858267716539E-3"/>
              <c:y val="9.3186789151356083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3"/>
        <c:spPr>
          <a:solidFill>
            <a:schemeClr val="accent2"/>
          </a:solidFill>
          <a:ln w="19050">
            <a:solidFill>
              <a:schemeClr val="lt1"/>
            </a:solidFill>
          </a:ln>
          <a:effectLst/>
        </c:spPr>
        <c:dLbl>
          <c:idx val="0"/>
          <c:layout>
            <c:manualLayout>
              <c:x val="3.888888888888889E-2"/>
              <c:y val="2.6238699329250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6.25E-2"/>
                  <c:h val="0.14004629629629631"/>
                </c:manualLayout>
              </c15:layout>
            </c:ext>
          </c:extLst>
        </c:dLbl>
      </c:pivotFmt>
      <c:pivotFmt>
        <c:idx val="24"/>
        <c:spPr>
          <a:solidFill>
            <a:schemeClr val="accent3"/>
          </a:solidFill>
          <a:ln w="19050">
            <a:solidFill>
              <a:schemeClr val="lt1"/>
            </a:solidFill>
          </a:ln>
          <a:effectLst/>
        </c:spPr>
        <c:dLbl>
          <c:idx val="0"/>
          <c:layout>
            <c:manualLayout>
              <c:x val="0.10833333333333334"/>
              <c:y val="-6.2022455526392533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5.9722222222222225E-2"/>
                  <c:h val="6.25E-2"/>
                </c:manualLayout>
              </c15:layout>
            </c:ext>
          </c:extLst>
        </c:dLbl>
      </c:pivotFmt>
      <c:pivotFmt>
        <c:idx val="25"/>
        <c:spPr>
          <a:solidFill>
            <a:schemeClr val="accent4"/>
          </a:solidFill>
          <a:ln w="19050">
            <a:solidFill>
              <a:schemeClr val="lt1"/>
            </a:solidFill>
          </a:ln>
          <a:effectLst/>
        </c:spPr>
        <c:dLbl>
          <c:idx val="0"/>
          <c:layout>
            <c:manualLayout>
              <c:x val="1.290923009623797E-2"/>
              <c:y val="1.2914843977836104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6"/>
        <c:spPr>
          <a:solidFill>
            <a:schemeClr val="accent5"/>
          </a:solidFill>
          <a:ln w="19050">
            <a:solidFill>
              <a:schemeClr val="lt1"/>
            </a:solidFill>
          </a:ln>
          <a:effectLst/>
        </c:spPr>
        <c:dLbl>
          <c:idx val="0"/>
          <c:layout>
            <c:manualLayout>
              <c:x val="-9.9505686789151358E-3"/>
              <c:y val="2.3221420239136776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
        <c:spPr>
          <a:solidFill>
            <a:schemeClr val="accent6"/>
          </a:solidFill>
          <a:ln w="19050">
            <a:solidFill>
              <a:schemeClr val="lt1"/>
            </a:solidFill>
          </a:ln>
          <a:effectLst/>
        </c:spPr>
        <c:dLbl>
          <c:idx val="0"/>
          <c:layout>
            <c:manualLayout>
              <c:x val="-4.1053587051618545E-2"/>
              <c:y val="-9.5847914843977828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8"/>
        <c:spPr>
          <a:solidFill>
            <a:schemeClr val="accent1">
              <a:lumMod val="60000"/>
            </a:schemeClr>
          </a:solidFill>
          <a:ln w="19050">
            <a:solidFill>
              <a:schemeClr val="lt1"/>
            </a:solidFill>
          </a:ln>
          <a:effectLst/>
        </c:spPr>
      </c:pivotFmt>
      <c:pivotFmt>
        <c:idx val="29"/>
        <c:spPr>
          <a:solidFill>
            <a:schemeClr val="accent2">
              <a:lumMod val="60000"/>
            </a:schemeClr>
          </a:solidFill>
          <a:ln w="19050">
            <a:solidFill>
              <a:schemeClr val="lt1"/>
            </a:solidFill>
          </a:ln>
          <a:effectLst/>
        </c:spPr>
        <c:dLbl>
          <c:idx val="0"/>
          <c:layout>
            <c:manualLayout>
              <c:x val="-2.6373359580052495E-2"/>
              <c:y val="-1.4873505395158896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0"/>
        <c:spPr>
          <a:solidFill>
            <a:schemeClr val="accent3">
              <a:lumMod val="60000"/>
            </a:schemeClr>
          </a:solidFill>
          <a:ln w="19050">
            <a:solidFill>
              <a:schemeClr val="lt1"/>
            </a:solidFill>
          </a:ln>
          <a:effectLst/>
        </c:spPr>
        <c:dLbl>
          <c:idx val="0"/>
          <c:layout>
            <c:manualLayout>
              <c:x val="-1.5559492563429572E-2"/>
              <c:y val="-5.6119860017497809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1"/>
        <c:spPr>
          <a:solidFill>
            <a:schemeClr val="accent4">
              <a:lumMod val="60000"/>
            </a:schemeClr>
          </a:solidFill>
          <a:ln w="19050">
            <a:solidFill>
              <a:schemeClr val="lt1"/>
            </a:solidFill>
          </a:ln>
          <a:effectLst/>
        </c:spPr>
        <c:dLbl>
          <c:idx val="0"/>
          <c:layout>
            <c:manualLayout>
              <c:x val="4.2928701418043523E-2"/>
              <c:y val="2.1890409190654447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pieChart>
        <c:varyColors val="1"/>
        <c:ser>
          <c:idx val="0"/>
          <c:order val="0"/>
          <c:tx>
            <c:strRef>
              <c:f>'PIVOT TABLE'!$B$9</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F78A-4AD6-A105-936F02B5E93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F78A-4AD6-A105-936F02B5E93C}"/>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F78A-4AD6-A105-936F02B5E93C}"/>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F78A-4AD6-A105-936F02B5E93C}"/>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F78A-4AD6-A105-936F02B5E93C}"/>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F78A-4AD6-A105-936F02B5E93C}"/>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F78A-4AD6-A105-936F02B5E93C}"/>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F78A-4AD6-A105-936F02B5E93C}"/>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F78A-4AD6-A105-936F02B5E93C}"/>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F78A-4AD6-A105-936F02B5E93C}"/>
              </c:ext>
            </c:extLst>
          </c:dPt>
          <c:dLbls>
            <c:dLbl>
              <c:idx val="0"/>
              <c:layout>
                <c:manualLayout>
                  <c:x val="4.9133858267716539E-3"/>
                  <c:y val="9.3186789151356083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3.888888888888889E-2"/>
                  <c:y val="2.6238699329250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6.25E-2"/>
                      <c:h val="0.14004629629629631"/>
                    </c:manualLayout>
                  </c15:layout>
                </c:ext>
              </c:extLst>
            </c:dLbl>
            <c:dLbl>
              <c:idx val="2"/>
              <c:layout>
                <c:manualLayout>
                  <c:x val="0.10833333333333334"/>
                  <c:y val="-6.2022455526392533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5.9722222222222225E-2"/>
                      <c:h val="6.25E-2"/>
                    </c:manualLayout>
                  </c15:layout>
                </c:ext>
              </c:extLst>
            </c:dLbl>
            <c:dLbl>
              <c:idx val="3"/>
              <c:layout>
                <c:manualLayout>
                  <c:x val="1.290923009623797E-2"/>
                  <c:y val="1.2914843977836104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4"/>
              <c:layout>
                <c:manualLayout>
                  <c:x val="-9.9505686789151358E-3"/>
                  <c:y val="2.3221420239136776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5"/>
              <c:layout>
                <c:manualLayout>
                  <c:x val="-4.1053587051618545E-2"/>
                  <c:y val="-9.5847914843977828E-3"/>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7"/>
              <c:layout>
                <c:manualLayout>
                  <c:x val="-2.6373359580052495E-2"/>
                  <c:y val="-1.4873505395158896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8"/>
              <c:layout>
                <c:manualLayout>
                  <c:x val="-1.5559492563429572E-2"/>
                  <c:y val="-5.6119860017497809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9"/>
              <c:layout>
                <c:manualLayout>
                  <c:x val="4.2928701418043523E-2"/>
                  <c:y val="2.1890409190654447E-2"/>
                </c:manualLayout>
              </c:layout>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TABLE'!$A$10:$A$20</c:f>
              <c:strCache>
                <c:ptCount val="10"/>
                <c:pt idx="0">
                  <c:v>Accounts Executive</c:v>
                </c:pt>
                <c:pt idx="1">
                  <c:v>Accounts Trainee</c:v>
                </c:pt>
                <c:pt idx="2">
                  <c:v>Audit Assistant</c:v>
                </c:pt>
                <c:pt idx="3">
                  <c:v>Audit Manager</c:v>
                </c:pt>
                <c:pt idx="4">
                  <c:v>Finance Manager</c:v>
                </c:pt>
                <c:pt idx="5">
                  <c:v>GST Analyst</c:v>
                </c:pt>
                <c:pt idx="6">
                  <c:v>Internal Auditor</c:v>
                </c:pt>
                <c:pt idx="7">
                  <c:v>Senior Accountant</c:v>
                </c:pt>
                <c:pt idx="8">
                  <c:v>Senior Auditor</c:v>
                </c:pt>
                <c:pt idx="9">
                  <c:v>Tax Consultant</c:v>
                </c:pt>
              </c:strCache>
            </c:strRef>
          </c:cat>
          <c:val>
            <c:numRef>
              <c:f>'PIVOT TABLE'!$B$10:$B$20</c:f>
              <c:numCache>
                <c:formatCode>General</c:formatCode>
                <c:ptCount val="10"/>
                <c:pt idx="0">
                  <c:v>9</c:v>
                </c:pt>
                <c:pt idx="1">
                  <c:v>4</c:v>
                </c:pt>
                <c:pt idx="2">
                  <c:v>6</c:v>
                </c:pt>
                <c:pt idx="3">
                  <c:v>3</c:v>
                </c:pt>
                <c:pt idx="4">
                  <c:v>3</c:v>
                </c:pt>
                <c:pt idx="5">
                  <c:v>5</c:v>
                </c:pt>
                <c:pt idx="6">
                  <c:v>2</c:v>
                </c:pt>
                <c:pt idx="7">
                  <c:v>1</c:v>
                </c:pt>
                <c:pt idx="8">
                  <c:v>3</c:v>
                </c:pt>
                <c:pt idx="9">
                  <c:v>4</c:v>
                </c:pt>
              </c:numCache>
            </c:numRef>
          </c:val>
          <c:extLst xmlns:c16r2="http://schemas.microsoft.com/office/drawing/2015/06/chart">
            <c:ext xmlns:c16="http://schemas.microsoft.com/office/drawing/2014/chart" uri="{C3380CC4-5D6E-409C-BE32-E72D297353CC}">
              <c16:uniqueId val="{00000014-F78A-4AD6-A105-936F02B5E9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dataset (2).xlsx]PIVOT TABLE!PivotTable3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1.4610324582245175E-2"/>
          <c:y val="0.11009176484518382"/>
          <c:w val="0.82664807524059492"/>
          <c:h val="0.77439620506152329"/>
        </c:manualLayout>
      </c:layout>
      <c:barChart>
        <c:barDir val="col"/>
        <c:grouping val="clustered"/>
        <c:varyColors val="0"/>
        <c:ser>
          <c:idx val="0"/>
          <c:order val="0"/>
          <c:tx>
            <c:strRef>
              <c:f>'PIVOT TABLE'!$E$3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TABLE'!$D$4:$D$8</c:f>
              <c:strCache>
                <c:ptCount val="4"/>
                <c:pt idx="0">
                  <c:v>Accounts</c:v>
                </c:pt>
                <c:pt idx="1">
                  <c:v>Audit</c:v>
                </c:pt>
                <c:pt idx="2">
                  <c:v>Finance</c:v>
                </c:pt>
                <c:pt idx="3">
                  <c:v>Taxation</c:v>
                </c:pt>
              </c:strCache>
            </c:strRef>
          </c:cat>
          <c:val>
            <c:numRef>
              <c:f>'PIVOT TABLE'!$E$4:$E$8</c:f>
              <c:numCache>
                <c:formatCode>General</c:formatCode>
                <c:ptCount val="4"/>
                <c:pt idx="0">
                  <c:v>605818</c:v>
                </c:pt>
                <c:pt idx="1">
                  <c:v>510098</c:v>
                </c:pt>
                <c:pt idx="2">
                  <c:v>565508</c:v>
                </c:pt>
                <c:pt idx="3">
                  <c:v>920569</c:v>
                </c:pt>
              </c:numCache>
            </c:numRef>
          </c:val>
          <c:extLst xmlns:c16r2="http://schemas.microsoft.com/office/drawing/2015/06/chart">
            <c:ext xmlns:c16="http://schemas.microsoft.com/office/drawing/2014/chart" uri="{C3380CC4-5D6E-409C-BE32-E72D297353CC}">
              <c16:uniqueId val="{00000000-668A-4D74-9A3B-DCABEC034EF7}"/>
            </c:ext>
          </c:extLst>
        </c:ser>
        <c:dLbls>
          <c:dLblPos val="outEnd"/>
          <c:showLegendKey val="0"/>
          <c:showVal val="1"/>
          <c:showCatName val="0"/>
          <c:showSerName val="0"/>
          <c:showPercent val="0"/>
          <c:showBubbleSize val="0"/>
        </c:dLbls>
        <c:gapWidth val="219"/>
        <c:overlap val="-27"/>
        <c:axId val="195452288"/>
        <c:axId val="195459328"/>
      </c:barChart>
      <c:catAx>
        <c:axId val="19545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459328"/>
        <c:crosses val="autoZero"/>
        <c:auto val="1"/>
        <c:lblAlgn val="ctr"/>
        <c:lblOffset val="100"/>
        <c:noMultiLvlLbl val="0"/>
      </c:catAx>
      <c:valAx>
        <c:axId val="195459328"/>
        <c:scaling>
          <c:orientation val="minMax"/>
        </c:scaling>
        <c:delete val="1"/>
        <c:axPos val="l"/>
        <c:numFmt formatCode="General" sourceLinked="1"/>
        <c:majorTickMark val="none"/>
        <c:minorTickMark val="none"/>
        <c:tickLblPos val="nextTo"/>
        <c:crossAx val="1954522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dataset (2).xlsx]PIVOT TABLE!PivotTable4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2.3888515246223086E-2"/>
          <c:y val="6.4814814814814811E-2"/>
          <c:w val="0.83435519609691333"/>
          <c:h val="0.89814814814814814"/>
        </c:manualLayout>
      </c:layout>
      <c:barChart>
        <c:barDir val="col"/>
        <c:grouping val="clustered"/>
        <c:varyColors val="0"/>
        <c:ser>
          <c:idx val="0"/>
          <c:order val="0"/>
          <c:tx>
            <c:strRef>
              <c:f>'PIVOT TABLE'!$E$12</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'PIVOT TABLE'!$D$13:$D$53</c:f>
              <c:strCache>
                <c:ptCount val="40"/>
                <c:pt idx="0">
                  <c:v>Abhinav</c:v>
                </c:pt>
                <c:pt idx="1">
                  <c:v>Adarsh</c:v>
                </c:pt>
                <c:pt idx="2">
                  <c:v>Akhil</c:v>
                </c:pt>
                <c:pt idx="3">
                  <c:v>Anjali</c:v>
                </c:pt>
                <c:pt idx="4">
                  <c:v>Anoop</c:v>
                </c:pt>
                <c:pt idx="5">
                  <c:v>Anu</c:v>
                </c:pt>
                <c:pt idx="6">
                  <c:v>Arathi</c:v>
                </c:pt>
                <c:pt idx="7">
                  <c:v>Arjun</c:v>
                </c:pt>
                <c:pt idx="8">
                  <c:v>Basil</c:v>
                </c:pt>
                <c:pt idx="9">
                  <c:v>Christy</c:v>
                </c:pt>
                <c:pt idx="10">
                  <c:v>Deepak</c:v>
                </c:pt>
                <c:pt idx="11">
                  <c:v>Dileep</c:v>
                </c:pt>
                <c:pt idx="12">
                  <c:v>Divya</c:v>
                </c:pt>
                <c:pt idx="13">
                  <c:v>Esha</c:v>
                </c:pt>
                <c:pt idx="14">
                  <c:v>Fathima</c:v>
                </c:pt>
                <c:pt idx="15">
                  <c:v>Greeshma</c:v>
                </c:pt>
                <c:pt idx="16">
                  <c:v>Jithin</c:v>
                </c:pt>
                <c:pt idx="17">
                  <c:v>Keerthi</c:v>
                </c:pt>
                <c:pt idx="18">
                  <c:v>Kiran</c:v>
                </c:pt>
                <c:pt idx="19">
                  <c:v>Lekha</c:v>
                </c:pt>
                <c:pt idx="20">
                  <c:v>Manu</c:v>
                </c:pt>
                <c:pt idx="21">
                  <c:v>Meera</c:v>
                </c:pt>
                <c:pt idx="22">
                  <c:v>Naveen</c:v>
                </c:pt>
                <c:pt idx="23">
                  <c:v>Neha</c:v>
                </c:pt>
                <c:pt idx="24">
                  <c:v>Nikhil</c:v>
                </c:pt>
                <c:pt idx="25">
                  <c:v>Nimisha</c:v>
                </c:pt>
                <c:pt idx="26">
                  <c:v>Pooja</c:v>
                </c:pt>
                <c:pt idx="27">
                  <c:v>Priya</c:v>
                </c:pt>
                <c:pt idx="28">
                  <c:v>Rahul</c:v>
                </c:pt>
                <c:pt idx="29">
                  <c:v>Reshma</c:v>
                </c:pt>
                <c:pt idx="30">
                  <c:v>Riya</c:v>
                </c:pt>
                <c:pt idx="31">
                  <c:v>Rohit</c:v>
                </c:pt>
                <c:pt idx="32">
                  <c:v>Sanjay</c:v>
                </c:pt>
                <c:pt idx="33">
                  <c:v>Sneha</c:v>
                </c:pt>
                <c:pt idx="34">
                  <c:v>Sreya</c:v>
                </c:pt>
                <c:pt idx="35">
                  <c:v>Tejas</c:v>
                </c:pt>
                <c:pt idx="36">
                  <c:v>Umesh</c:v>
                </c:pt>
                <c:pt idx="37">
                  <c:v>Varun</c:v>
                </c:pt>
                <c:pt idx="38">
                  <c:v>Vishnu</c:v>
                </c:pt>
                <c:pt idx="39">
                  <c:v>Vivek</c:v>
                </c:pt>
              </c:strCache>
            </c:strRef>
          </c:cat>
          <c:val>
            <c:numRef>
              <c:f>'PIVOT TABLE'!$E$13:$E$53</c:f>
              <c:numCache>
                <c:formatCode>General</c:formatCode>
                <c:ptCount val="40"/>
                <c:pt idx="0">
                  <c:v>11</c:v>
                </c:pt>
                <c:pt idx="1">
                  <c:v>9</c:v>
                </c:pt>
                <c:pt idx="2">
                  <c:v>10</c:v>
                </c:pt>
                <c:pt idx="3">
                  <c:v>8</c:v>
                </c:pt>
                <c:pt idx="4">
                  <c:v>9</c:v>
                </c:pt>
                <c:pt idx="5">
                  <c:v>2</c:v>
                </c:pt>
                <c:pt idx="6">
                  <c:v>7</c:v>
                </c:pt>
                <c:pt idx="7">
                  <c:v>1</c:v>
                </c:pt>
                <c:pt idx="8">
                  <c:v>1</c:v>
                </c:pt>
                <c:pt idx="9">
                  <c:v>6</c:v>
                </c:pt>
                <c:pt idx="10">
                  <c:v>6</c:v>
                </c:pt>
                <c:pt idx="11">
                  <c:v>1</c:v>
                </c:pt>
                <c:pt idx="12">
                  <c:v>12</c:v>
                </c:pt>
                <c:pt idx="13">
                  <c:v>10</c:v>
                </c:pt>
                <c:pt idx="14">
                  <c:v>9</c:v>
                </c:pt>
                <c:pt idx="15">
                  <c:v>9</c:v>
                </c:pt>
                <c:pt idx="16">
                  <c:v>10</c:v>
                </c:pt>
                <c:pt idx="17">
                  <c:v>8</c:v>
                </c:pt>
                <c:pt idx="18">
                  <c:v>6</c:v>
                </c:pt>
                <c:pt idx="19">
                  <c:v>7</c:v>
                </c:pt>
                <c:pt idx="20">
                  <c:v>1</c:v>
                </c:pt>
                <c:pt idx="21">
                  <c:v>9</c:v>
                </c:pt>
                <c:pt idx="22">
                  <c:v>12</c:v>
                </c:pt>
                <c:pt idx="23">
                  <c:v>11</c:v>
                </c:pt>
                <c:pt idx="24">
                  <c:v>6</c:v>
                </c:pt>
                <c:pt idx="25">
                  <c:v>8</c:v>
                </c:pt>
                <c:pt idx="26">
                  <c:v>4</c:v>
                </c:pt>
                <c:pt idx="27">
                  <c:v>1</c:v>
                </c:pt>
                <c:pt idx="28">
                  <c:v>4</c:v>
                </c:pt>
                <c:pt idx="29">
                  <c:v>6</c:v>
                </c:pt>
                <c:pt idx="30">
                  <c:v>10</c:v>
                </c:pt>
                <c:pt idx="31">
                  <c:v>7</c:v>
                </c:pt>
                <c:pt idx="32">
                  <c:v>2</c:v>
                </c:pt>
                <c:pt idx="33">
                  <c:v>2</c:v>
                </c:pt>
                <c:pt idx="34">
                  <c:v>10</c:v>
                </c:pt>
                <c:pt idx="35">
                  <c:v>12</c:v>
                </c:pt>
                <c:pt idx="36">
                  <c:v>4</c:v>
                </c:pt>
                <c:pt idx="37">
                  <c:v>4</c:v>
                </c:pt>
                <c:pt idx="38">
                  <c:v>6</c:v>
                </c:pt>
                <c:pt idx="39">
                  <c:v>7</c:v>
                </c:pt>
              </c:numCache>
            </c:numRef>
          </c:val>
          <c:extLst xmlns:c16r2="http://schemas.microsoft.com/office/drawing/2015/06/chart">
            <c:ext xmlns:c16="http://schemas.microsoft.com/office/drawing/2014/chart" uri="{C3380CC4-5D6E-409C-BE32-E72D297353CC}">
              <c16:uniqueId val="{00000000-8551-4E03-94B4-9E7F729E2FBE}"/>
            </c:ext>
          </c:extLst>
        </c:ser>
        <c:dLbls>
          <c:dLblPos val="outEnd"/>
          <c:showLegendKey val="0"/>
          <c:showVal val="1"/>
          <c:showCatName val="0"/>
          <c:showSerName val="0"/>
          <c:showPercent val="0"/>
          <c:showBubbleSize val="0"/>
        </c:dLbls>
        <c:gapWidth val="219"/>
        <c:overlap val="-27"/>
        <c:axId val="195895680"/>
        <c:axId val="195898368"/>
      </c:barChart>
      <c:catAx>
        <c:axId val="19589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898368"/>
        <c:crosses val="autoZero"/>
        <c:auto val="1"/>
        <c:lblAlgn val="ctr"/>
        <c:lblOffset val="100"/>
        <c:noMultiLvlLbl val="0"/>
      </c:catAx>
      <c:valAx>
        <c:axId val="1958983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8956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payroll dataset (2).xlsx]PIVOT TABLE!PivotTable5</c:name>
    <c:fmtId val="2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 TABLE'!$H$5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TABLE'!$G$6:$G$10</c:f>
              <c:strCache>
                <c:ptCount val="4"/>
                <c:pt idx="0">
                  <c:v>Accounts</c:v>
                </c:pt>
                <c:pt idx="1">
                  <c:v>Audit</c:v>
                </c:pt>
                <c:pt idx="2">
                  <c:v>Finance</c:v>
                </c:pt>
                <c:pt idx="3">
                  <c:v>Taxation</c:v>
                </c:pt>
              </c:strCache>
            </c:strRef>
          </c:cat>
          <c:val>
            <c:numRef>
              <c:f>'PIVOT TABLE'!$H$6:$H$10</c:f>
              <c:numCache>
                <c:formatCode>General</c:formatCode>
                <c:ptCount val="4"/>
                <c:pt idx="0">
                  <c:v>10</c:v>
                </c:pt>
                <c:pt idx="1">
                  <c:v>9</c:v>
                </c:pt>
                <c:pt idx="2">
                  <c:v>9</c:v>
                </c:pt>
                <c:pt idx="3">
                  <c:v>12</c:v>
                </c:pt>
              </c:numCache>
            </c:numRef>
          </c:val>
          <c:smooth val="0"/>
          <c:extLst xmlns:c16r2="http://schemas.microsoft.com/office/drawing/2015/06/chart">
            <c:ext xmlns:c16="http://schemas.microsoft.com/office/drawing/2014/chart" uri="{C3380CC4-5D6E-409C-BE32-E72D297353CC}">
              <c16:uniqueId val="{00000000-6241-4C5B-8A16-BD918D807EC9}"/>
            </c:ext>
          </c:extLst>
        </c:ser>
        <c:dLbls>
          <c:dLblPos val="t"/>
          <c:showLegendKey val="0"/>
          <c:showVal val="1"/>
          <c:showCatName val="0"/>
          <c:showSerName val="0"/>
          <c:showPercent val="0"/>
          <c:showBubbleSize val="0"/>
        </c:dLbls>
        <c:marker val="1"/>
        <c:smooth val="0"/>
        <c:axId val="195967616"/>
        <c:axId val="195977600"/>
      </c:lineChart>
      <c:catAx>
        <c:axId val="1959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977600"/>
        <c:crosses val="autoZero"/>
        <c:auto val="1"/>
        <c:lblAlgn val="ctr"/>
        <c:lblOffset val="100"/>
        <c:noMultiLvlLbl val="0"/>
      </c:catAx>
      <c:valAx>
        <c:axId val="195977600"/>
        <c:scaling>
          <c:orientation val="minMax"/>
        </c:scaling>
        <c:delete val="1"/>
        <c:axPos val="l"/>
        <c:numFmt formatCode="General" sourceLinked="1"/>
        <c:majorTickMark val="none"/>
        <c:minorTickMark val="none"/>
        <c:tickLblPos val="nextTo"/>
        <c:crossAx val="1959676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payroll dataset (2).xlsx]PIVOT TABLE!PivotTable8</c:name>
    <c:fmtId val="8"/>
  </c:pivotSource>
  <c:chart>
    <c:autoTitleDeleted val="1"/>
    <c:pivotFmts>
      <c:pivotFmt>
        <c:idx val="0"/>
      </c:pivotFmt>
      <c:pivotFmt>
        <c:idx val="1"/>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12233351567221958"/>
          <c:y val="5.7255480951940343E-2"/>
          <c:w val="0.83291359619312988"/>
          <c:h val="0.29499356653492648"/>
        </c:manualLayout>
      </c:layout>
      <c:areaChart>
        <c:grouping val="standard"/>
        <c:varyColors val="0"/>
        <c:ser>
          <c:idx val="0"/>
          <c:order val="0"/>
          <c:tx>
            <c:strRef>
              <c:f>'PIVOT TABLE'!$K$9</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dLbls>
          <c:cat>
            <c:strRef>
              <c:f>'PIVOT TABLE'!$J$10:$J$25</c:f>
              <c:strCache>
                <c:ptCount val="15"/>
                <c:pt idx="0">
                  <c:v>22</c:v>
                </c:pt>
                <c:pt idx="1">
                  <c:v>23</c:v>
                </c:pt>
                <c:pt idx="2">
                  <c:v>24</c:v>
                </c:pt>
                <c:pt idx="3">
                  <c:v>25</c:v>
                </c:pt>
                <c:pt idx="4">
                  <c:v>26</c:v>
                </c:pt>
                <c:pt idx="5">
                  <c:v>27</c:v>
                </c:pt>
                <c:pt idx="6">
                  <c:v>28</c:v>
                </c:pt>
                <c:pt idx="7">
                  <c:v>29</c:v>
                </c:pt>
                <c:pt idx="8">
                  <c:v>31</c:v>
                </c:pt>
                <c:pt idx="9">
                  <c:v>32</c:v>
                </c:pt>
                <c:pt idx="10">
                  <c:v>33</c:v>
                </c:pt>
                <c:pt idx="11">
                  <c:v>34</c:v>
                </c:pt>
                <c:pt idx="12">
                  <c:v>35</c:v>
                </c:pt>
                <c:pt idx="13">
                  <c:v>36</c:v>
                </c:pt>
                <c:pt idx="14">
                  <c:v>37</c:v>
                </c:pt>
              </c:strCache>
            </c:strRef>
          </c:cat>
          <c:val>
            <c:numRef>
              <c:f>'PIVOT TABLE'!$K$10:$K$25</c:f>
              <c:numCache>
                <c:formatCode>General</c:formatCode>
                <c:ptCount val="15"/>
                <c:pt idx="0">
                  <c:v>4</c:v>
                </c:pt>
                <c:pt idx="1">
                  <c:v>4</c:v>
                </c:pt>
                <c:pt idx="2">
                  <c:v>3</c:v>
                </c:pt>
                <c:pt idx="3">
                  <c:v>5</c:v>
                </c:pt>
                <c:pt idx="4">
                  <c:v>4</c:v>
                </c:pt>
                <c:pt idx="5">
                  <c:v>1</c:v>
                </c:pt>
                <c:pt idx="6">
                  <c:v>1</c:v>
                </c:pt>
                <c:pt idx="7">
                  <c:v>2</c:v>
                </c:pt>
                <c:pt idx="8">
                  <c:v>3</c:v>
                </c:pt>
                <c:pt idx="9">
                  <c:v>2</c:v>
                </c:pt>
                <c:pt idx="10">
                  <c:v>2</c:v>
                </c:pt>
                <c:pt idx="11">
                  <c:v>2</c:v>
                </c:pt>
                <c:pt idx="12">
                  <c:v>3</c:v>
                </c:pt>
                <c:pt idx="13">
                  <c:v>1</c:v>
                </c:pt>
                <c:pt idx="14">
                  <c:v>3</c:v>
                </c:pt>
              </c:numCache>
            </c:numRef>
          </c:val>
        </c:ser>
        <c:dLbls>
          <c:showLegendKey val="0"/>
          <c:showVal val="0"/>
          <c:showCatName val="0"/>
          <c:showSerName val="0"/>
          <c:showPercent val="0"/>
          <c:showBubbleSize val="0"/>
        </c:dLbls>
        <c:axId val="196010752"/>
        <c:axId val="196012288"/>
      </c:areaChart>
      <c:catAx>
        <c:axId val="196010752"/>
        <c:scaling>
          <c:orientation val="minMax"/>
        </c:scaling>
        <c:delete val="0"/>
        <c:axPos val="b"/>
        <c:majorTickMark val="out"/>
        <c:minorTickMark val="none"/>
        <c:tickLblPos val="nextTo"/>
        <c:crossAx val="196012288"/>
        <c:crosses val="autoZero"/>
        <c:auto val="1"/>
        <c:lblAlgn val="ctr"/>
        <c:lblOffset val="100"/>
        <c:noMultiLvlLbl val="0"/>
      </c:catAx>
      <c:valAx>
        <c:axId val="196012288"/>
        <c:scaling>
          <c:orientation val="minMax"/>
        </c:scaling>
        <c:delete val="0"/>
        <c:axPos val="l"/>
        <c:numFmt formatCode="General" sourceLinked="1"/>
        <c:majorTickMark val="out"/>
        <c:minorTickMark val="none"/>
        <c:tickLblPos val="nextTo"/>
        <c:crossAx val="196010752"/>
        <c:crosses val="autoZero"/>
        <c:crossBetween val="midCat"/>
      </c:valAx>
    </c:plotArea>
    <c:plotVisOnly val="1"/>
    <c:dispBlanksAs val="zero"/>
    <c:showDLblsOverMax val="0"/>
  </c:chart>
  <c:spPr>
    <a:noFill/>
    <a:ln>
      <a:no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488462</xdr:colOff>
      <xdr:row>27</xdr:row>
      <xdr:rowOff>0</xdr:rowOff>
    </xdr:to>
    <xdr:sp macro="" textlink="">
      <xdr:nvSpPr>
        <xdr:cNvPr id="2" name="Rectangle 1">
          <a:extLst>
            <a:ext uri="{FF2B5EF4-FFF2-40B4-BE49-F238E27FC236}">
              <a16:creationId xmlns:a16="http://schemas.microsoft.com/office/drawing/2014/main" xmlns="" id="{7E3A05F9-EF9A-9F2A-5B4D-1B02122C97E8}"/>
            </a:ext>
          </a:extLst>
        </xdr:cNvPr>
        <xdr:cNvSpPr/>
      </xdr:nvSpPr>
      <xdr:spPr>
        <a:xfrm>
          <a:off x="0" y="0"/>
          <a:ext cx="15181385" cy="4923692"/>
        </a:xfrm>
        <a:prstGeom prst="rect">
          <a:avLst/>
        </a:prstGeom>
        <a:solidFill>
          <a:schemeClr val="accent3">
            <a:lumMod val="60000"/>
            <a:lumOff val="4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273050</xdr:colOff>
      <xdr:row>3</xdr:row>
      <xdr:rowOff>165100</xdr:rowOff>
    </xdr:from>
    <xdr:to>
      <xdr:col>18</xdr:col>
      <xdr:colOff>457200</xdr:colOff>
      <xdr:row>11</xdr:row>
      <xdr:rowOff>82550</xdr:rowOff>
    </xdr:to>
    <xdr:sp macro="" textlink="">
      <xdr:nvSpPr>
        <xdr:cNvPr id="3" name="Rectangle 2">
          <a:extLst>
            <a:ext uri="{FF2B5EF4-FFF2-40B4-BE49-F238E27FC236}">
              <a16:creationId xmlns:a16="http://schemas.microsoft.com/office/drawing/2014/main" xmlns="" id="{8413E90E-AA6D-EDC2-559F-E00F587FD319}"/>
            </a:ext>
          </a:extLst>
        </xdr:cNvPr>
        <xdr:cNvSpPr/>
      </xdr:nvSpPr>
      <xdr:spPr>
        <a:xfrm>
          <a:off x="273050" y="717550"/>
          <a:ext cx="11156950" cy="139065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317500</xdr:colOff>
      <xdr:row>4</xdr:row>
      <xdr:rowOff>12700</xdr:rowOff>
    </xdr:from>
    <xdr:to>
      <xdr:col>4</xdr:col>
      <xdr:colOff>374650</xdr:colOff>
      <xdr:row>11</xdr:row>
      <xdr:rowOff>50800</xdr:rowOff>
    </xdr:to>
    <xdr:graphicFrame macro="">
      <xdr:nvGraphicFramePr>
        <xdr:cNvPr id="4" name="Chart 3">
          <a:extLst>
            <a:ext uri="{FF2B5EF4-FFF2-40B4-BE49-F238E27FC236}">
              <a16:creationId xmlns:a16="http://schemas.microsoft.com/office/drawing/2014/main" xmlns="" id="{8503E35B-FFCA-4128-B520-5E0E44755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552450</xdr:colOff>
      <xdr:row>3</xdr:row>
      <xdr:rowOff>171450</xdr:rowOff>
    </xdr:from>
    <xdr:to>
      <xdr:col>5</xdr:col>
      <xdr:colOff>292100</xdr:colOff>
      <xdr:row>11</xdr:row>
      <xdr:rowOff>82550</xdr:rowOff>
    </xdr:to>
    <xdr:sp macro="" textlink="">
      <xdr:nvSpPr>
        <xdr:cNvPr id="5" name="Arrow: Left-Up 4">
          <a:extLst>
            <a:ext uri="{FF2B5EF4-FFF2-40B4-BE49-F238E27FC236}">
              <a16:creationId xmlns:a16="http://schemas.microsoft.com/office/drawing/2014/main" xmlns="" id="{7EC7B474-62D2-65C5-56D9-D7607528A925}"/>
            </a:ext>
          </a:extLst>
        </xdr:cNvPr>
        <xdr:cNvSpPr/>
      </xdr:nvSpPr>
      <xdr:spPr>
        <a:xfrm>
          <a:off x="2990850" y="723900"/>
          <a:ext cx="349250" cy="1384300"/>
        </a:xfrm>
        <a:prstGeom prst="leftUpArrow">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317500</xdr:colOff>
      <xdr:row>4</xdr:row>
      <xdr:rowOff>120650</xdr:rowOff>
    </xdr:from>
    <xdr:to>
      <xdr:col>1</xdr:col>
      <xdr:colOff>533400</xdr:colOff>
      <xdr:row>9</xdr:row>
      <xdr:rowOff>107950</xdr:rowOff>
    </xdr:to>
    <xdr:sp macro="" textlink="">
      <xdr:nvSpPr>
        <xdr:cNvPr id="6" name="TextBox 5">
          <a:extLst>
            <a:ext uri="{FF2B5EF4-FFF2-40B4-BE49-F238E27FC236}">
              <a16:creationId xmlns:a16="http://schemas.microsoft.com/office/drawing/2014/main" xmlns="" id="{CB285D0A-93A0-BC52-4506-3EA931789C9D}"/>
            </a:ext>
          </a:extLst>
        </xdr:cNvPr>
        <xdr:cNvSpPr txBox="1"/>
      </xdr:nvSpPr>
      <xdr:spPr>
        <a:xfrm>
          <a:off x="317500" y="857250"/>
          <a:ext cx="825500" cy="90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WHETHER SALARY PAID?</a:t>
          </a:r>
        </a:p>
      </xdr:txBody>
    </xdr:sp>
    <xdr:clientData/>
  </xdr:twoCellAnchor>
  <xdr:twoCellAnchor>
    <xdr:from>
      <xdr:col>5</xdr:col>
      <xdr:colOff>476250</xdr:colOff>
      <xdr:row>3</xdr:row>
      <xdr:rowOff>50800</xdr:rowOff>
    </xdr:from>
    <xdr:to>
      <xdr:col>10</xdr:col>
      <xdr:colOff>203200</xdr:colOff>
      <xdr:row>11</xdr:row>
      <xdr:rowOff>127000</xdr:rowOff>
    </xdr:to>
    <xdr:graphicFrame macro="">
      <xdr:nvGraphicFramePr>
        <xdr:cNvPr id="8" name="Chart 7">
          <a:extLst>
            <a:ext uri="{FF2B5EF4-FFF2-40B4-BE49-F238E27FC236}">
              <a16:creationId xmlns:a16="http://schemas.microsoft.com/office/drawing/2014/main" xmlns="" id="{006FA020-DCA9-477B-B230-7FF669E38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196850</xdr:colOff>
      <xdr:row>4</xdr:row>
      <xdr:rowOff>57150</xdr:rowOff>
    </xdr:from>
    <xdr:to>
      <xdr:col>11</xdr:col>
      <xdr:colOff>508000</xdr:colOff>
      <xdr:row>9</xdr:row>
      <xdr:rowOff>50800</xdr:rowOff>
    </xdr:to>
    <xdr:sp macro="" textlink="">
      <xdr:nvSpPr>
        <xdr:cNvPr id="9" name="TextBox 8">
          <a:extLst>
            <a:ext uri="{FF2B5EF4-FFF2-40B4-BE49-F238E27FC236}">
              <a16:creationId xmlns:a16="http://schemas.microsoft.com/office/drawing/2014/main" xmlns="" id="{0549E470-B201-2C24-EDFD-A72F6C765111}"/>
            </a:ext>
          </a:extLst>
        </xdr:cNvPr>
        <xdr:cNvSpPr txBox="1"/>
      </xdr:nvSpPr>
      <xdr:spPr>
        <a:xfrm>
          <a:off x="6292850" y="793750"/>
          <a:ext cx="9207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 count by Designation</a:t>
          </a:r>
        </a:p>
      </xdr:txBody>
    </xdr:sp>
    <xdr:clientData/>
  </xdr:twoCellAnchor>
  <xdr:twoCellAnchor>
    <xdr:from>
      <xdr:col>12</xdr:col>
      <xdr:colOff>152400</xdr:colOff>
      <xdr:row>3</xdr:row>
      <xdr:rowOff>158750</xdr:rowOff>
    </xdr:from>
    <xdr:to>
      <xdr:col>12</xdr:col>
      <xdr:colOff>495300</xdr:colOff>
      <xdr:row>11</xdr:row>
      <xdr:rowOff>69850</xdr:rowOff>
    </xdr:to>
    <xdr:sp macro="" textlink="">
      <xdr:nvSpPr>
        <xdr:cNvPr id="15" name="Arrow: Left-Up 14">
          <a:extLst>
            <a:ext uri="{FF2B5EF4-FFF2-40B4-BE49-F238E27FC236}">
              <a16:creationId xmlns:a16="http://schemas.microsoft.com/office/drawing/2014/main" xmlns="" id="{2F9B59E8-7850-3DFF-7D2C-E23ABC0D0EBA}"/>
            </a:ext>
          </a:extLst>
        </xdr:cNvPr>
        <xdr:cNvSpPr/>
      </xdr:nvSpPr>
      <xdr:spPr>
        <a:xfrm flipV="1">
          <a:off x="7467600" y="711200"/>
          <a:ext cx="342900" cy="1384300"/>
        </a:xfrm>
        <a:prstGeom prst="leftUpArrow">
          <a:avLst>
            <a:gd name="adj1" fmla="val 25000"/>
            <a:gd name="adj2" fmla="val 29688"/>
            <a:gd name="adj3" fmla="val 25000"/>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527050</xdr:colOff>
      <xdr:row>4</xdr:row>
      <xdr:rowOff>171450</xdr:rowOff>
    </xdr:from>
    <xdr:to>
      <xdr:col>18</xdr:col>
      <xdr:colOff>304800</xdr:colOff>
      <xdr:row>9</xdr:row>
      <xdr:rowOff>165100</xdr:rowOff>
    </xdr:to>
    <xdr:sp macro="" textlink="">
      <xdr:nvSpPr>
        <xdr:cNvPr id="17" name="TextBox 16">
          <a:extLst>
            <a:ext uri="{FF2B5EF4-FFF2-40B4-BE49-F238E27FC236}">
              <a16:creationId xmlns:a16="http://schemas.microsoft.com/office/drawing/2014/main" xmlns="" id="{5A16A037-886A-2D4A-9EC5-DFD8807183D0}"/>
            </a:ext>
          </a:extLst>
        </xdr:cNvPr>
        <xdr:cNvSpPr txBox="1"/>
      </xdr:nvSpPr>
      <xdr:spPr>
        <a:xfrm>
          <a:off x="10280650" y="908050"/>
          <a:ext cx="9969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Number</a:t>
          </a:r>
          <a:r>
            <a:rPr lang="en-IN" sz="1100" b="1" baseline="0"/>
            <a:t> of staffs by Department</a:t>
          </a:r>
          <a:endParaRPr lang="en-IN" sz="1100" b="1"/>
        </a:p>
      </xdr:txBody>
    </xdr:sp>
    <xdr:clientData/>
  </xdr:twoCellAnchor>
  <xdr:twoCellAnchor>
    <xdr:from>
      <xdr:col>3</xdr:col>
      <xdr:colOff>323850</xdr:colOff>
      <xdr:row>0</xdr:row>
      <xdr:rowOff>127000</xdr:rowOff>
    </xdr:from>
    <xdr:to>
      <xdr:col>14</xdr:col>
      <xdr:colOff>19050</xdr:colOff>
      <xdr:row>3</xdr:row>
      <xdr:rowOff>25400</xdr:rowOff>
    </xdr:to>
    <xdr:sp macro="" textlink="">
      <xdr:nvSpPr>
        <xdr:cNvPr id="18" name="Rectangle 17">
          <a:extLst>
            <a:ext uri="{FF2B5EF4-FFF2-40B4-BE49-F238E27FC236}">
              <a16:creationId xmlns:a16="http://schemas.microsoft.com/office/drawing/2014/main" xmlns="" id="{46EED608-E54D-BFB4-192F-63A979081A4B}"/>
            </a:ext>
          </a:extLst>
        </xdr:cNvPr>
        <xdr:cNvSpPr/>
      </xdr:nvSpPr>
      <xdr:spPr>
        <a:xfrm>
          <a:off x="2152650" y="127000"/>
          <a:ext cx="6400800" cy="45085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xdr:row>
      <xdr:rowOff>12700</xdr:rowOff>
    </xdr:from>
    <xdr:to>
      <xdr:col>13</xdr:col>
      <xdr:colOff>552450</xdr:colOff>
      <xdr:row>2</xdr:row>
      <xdr:rowOff>165099</xdr:rowOff>
    </xdr:to>
    <xdr:sp macro="" textlink="">
      <xdr:nvSpPr>
        <xdr:cNvPr id="19" name="TextBox 18">
          <a:extLst>
            <a:ext uri="{FF2B5EF4-FFF2-40B4-BE49-F238E27FC236}">
              <a16:creationId xmlns:a16="http://schemas.microsoft.com/office/drawing/2014/main" xmlns="" id="{61EDD846-1BAA-9AAE-8FD6-88D312E2B901}"/>
            </a:ext>
          </a:extLst>
        </xdr:cNvPr>
        <xdr:cNvSpPr txBox="1"/>
      </xdr:nvSpPr>
      <xdr:spPr>
        <a:xfrm>
          <a:off x="2171700" y="196850"/>
          <a:ext cx="6305550" cy="336549"/>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b="1"/>
            <a:t>Employee</a:t>
          </a:r>
          <a:r>
            <a:rPr lang="en-IN" sz="1800" b="1" baseline="0"/>
            <a:t> Payroll Dashboard</a:t>
          </a:r>
          <a:endParaRPr lang="en-IN" sz="1800" b="1"/>
        </a:p>
      </xdr:txBody>
    </xdr:sp>
    <xdr:clientData/>
  </xdr:twoCellAnchor>
  <xdr:twoCellAnchor>
    <xdr:from>
      <xdr:col>0</xdr:col>
      <xdr:colOff>298450</xdr:colOff>
      <xdr:row>13</xdr:row>
      <xdr:rowOff>152400</xdr:rowOff>
    </xdr:from>
    <xdr:to>
      <xdr:col>4</xdr:col>
      <xdr:colOff>406400</xdr:colOff>
      <xdr:row>23</xdr:row>
      <xdr:rowOff>0</xdr:rowOff>
    </xdr:to>
    <xdr:graphicFrame macro="">
      <xdr:nvGraphicFramePr>
        <xdr:cNvPr id="21" name="Chart 20">
          <a:extLst>
            <a:ext uri="{FF2B5EF4-FFF2-40B4-BE49-F238E27FC236}">
              <a16:creationId xmlns:a16="http://schemas.microsoft.com/office/drawing/2014/main" xmlns="" id="{EAF1D652-F553-4987-A082-F6C25E6E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260350</xdr:colOff>
      <xdr:row>12</xdr:row>
      <xdr:rowOff>63500</xdr:rowOff>
    </xdr:from>
    <xdr:to>
      <xdr:col>4</xdr:col>
      <xdr:colOff>566615</xdr:colOff>
      <xdr:row>23</xdr:row>
      <xdr:rowOff>120650</xdr:rowOff>
    </xdr:to>
    <xdr:sp macro="" textlink="">
      <xdr:nvSpPr>
        <xdr:cNvPr id="22" name="Rectangle 21">
          <a:extLst>
            <a:ext uri="{FF2B5EF4-FFF2-40B4-BE49-F238E27FC236}">
              <a16:creationId xmlns:a16="http://schemas.microsoft.com/office/drawing/2014/main" xmlns="" id="{B5E4B883-4189-ADB8-399E-BA02F5E6E8DF}"/>
            </a:ext>
          </a:extLst>
        </xdr:cNvPr>
        <xdr:cNvSpPr/>
      </xdr:nvSpPr>
      <xdr:spPr>
        <a:xfrm>
          <a:off x="260350" y="2251808"/>
          <a:ext cx="2755086" cy="20630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311150</xdr:colOff>
      <xdr:row>12</xdr:row>
      <xdr:rowOff>114300</xdr:rowOff>
    </xdr:from>
    <xdr:to>
      <xdr:col>4</xdr:col>
      <xdr:colOff>247650</xdr:colOff>
      <xdr:row>14</xdr:row>
      <xdr:rowOff>19050</xdr:rowOff>
    </xdr:to>
    <xdr:sp macro="" textlink="">
      <xdr:nvSpPr>
        <xdr:cNvPr id="23" name="TextBox 22">
          <a:extLst>
            <a:ext uri="{FF2B5EF4-FFF2-40B4-BE49-F238E27FC236}">
              <a16:creationId xmlns:a16="http://schemas.microsoft.com/office/drawing/2014/main" xmlns="" id="{AF55B46B-F7AC-6CC4-6AB8-51CE3378703F}"/>
            </a:ext>
          </a:extLst>
        </xdr:cNvPr>
        <xdr:cNvSpPr txBox="1"/>
      </xdr:nvSpPr>
      <xdr:spPr>
        <a:xfrm>
          <a:off x="311150" y="2324100"/>
          <a:ext cx="2374900" cy="27305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DEPARTMENT WISE TOTAL SALARY</a:t>
          </a:r>
        </a:p>
      </xdr:txBody>
    </xdr:sp>
    <xdr:clientData/>
  </xdr:twoCellAnchor>
  <xdr:twoCellAnchor>
    <xdr:from>
      <xdr:col>5</xdr:col>
      <xdr:colOff>463550</xdr:colOff>
      <xdr:row>14</xdr:row>
      <xdr:rowOff>19050</xdr:rowOff>
    </xdr:from>
    <xdr:to>
      <xdr:col>12</xdr:col>
      <xdr:colOff>527050</xdr:colOff>
      <xdr:row>25</xdr:row>
      <xdr:rowOff>13026</xdr:rowOff>
    </xdr:to>
    <xdr:graphicFrame macro="">
      <xdr:nvGraphicFramePr>
        <xdr:cNvPr id="24" name="Chart 23">
          <a:extLst>
            <a:ext uri="{FF2B5EF4-FFF2-40B4-BE49-F238E27FC236}">
              <a16:creationId xmlns:a16="http://schemas.microsoft.com/office/drawing/2014/main" xmlns="" id="{03A1275A-0D05-43E4-BA4D-07B8BF080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272561</xdr:colOff>
      <xdr:row>11</xdr:row>
      <xdr:rowOff>169333</xdr:rowOff>
    </xdr:from>
    <xdr:to>
      <xdr:col>13</xdr:col>
      <xdr:colOff>88411</xdr:colOff>
      <xdr:row>25</xdr:row>
      <xdr:rowOff>97693</xdr:rowOff>
    </xdr:to>
    <xdr:sp macro="" textlink="">
      <xdr:nvSpPr>
        <xdr:cNvPr id="25" name="Rectangle 24">
          <a:extLst>
            <a:ext uri="{FF2B5EF4-FFF2-40B4-BE49-F238E27FC236}">
              <a16:creationId xmlns:a16="http://schemas.microsoft.com/office/drawing/2014/main" xmlns="" id="{135DD66E-880C-9D3F-57BD-1BB821865D45}"/>
            </a:ext>
          </a:extLst>
        </xdr:cNvPr>
        <xdr:cNvSpPr/>
      </xdr:nvSpPr>
      <xdr:spPr>
        <a:xfrm>
          <a:off x="3333587" y="2175282"/>
          <a:ext cx="4713491" cy="24813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88900</xdr:colOff>
      <xdr:row>12</xdr:row>
      <xdr:rowOff>95250</xdr:rowOff>
    </xdr:from>
    <xdr:to>
      <xdr:col>12</xdr:col>
      <xdr:colOff>146050</xdr:colOff>
      <xdr:row>14</xdr:row>
      <xdr:rowOff>12700</xdr:rowOff>
    </xdr:to>
    <xdr:sp macro="" textlink="">
      <xdr:nvSpPr>
        <xdr:cNvPr id="26" name="TextBox 25">
          <a:extLst>
            <a:ext uri="{FF2B5EF4-FFF2-40B4-BE49-F238E27FC236}">
              <a16:creationId xmlns:a16="http://schemas.microsoft.com/office/drawing/2014/main" xmlns="" id="{B91DE789-9930-3682-0CF4-D0AF76393B60}"/>
            </a:ext>
          </a:extLst>
        </xdr:cNvPr>
        <xdr:cNvSpPr txBox="1"/>
      </xdr:nvSpPr>
      <xdr:spPr>
        <a:xfrm>
          <a:off x="3746500" y="2305050"/>
          <a:ext cx="3714750" cy="28575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a:t>
          </a:r>
          <a:r>
            <a:rPr lang="en-IN" sz="1100" b="1" baseline="0"/>
            <a:t>    YEAR OF EXPERIENCE OF EACH EMPLOYEE</a:t>
          </a:r>
          <a:endParaRPr lang="en-IN" sz="1100" b="1"/>
        </a:p>
      </xdr:txBody>
    </xdr:sp>
    <xdr:clientData/>
  </xdr:twoCellAnchor>
  <xdr:twoCellAnchor editAs="oneCell">
    <xdr:from>
      <xdr:col>13</xdr:col>
      <xdr:colOff>157935</xdr:colOff>
      <xdr:row>11</xdr:row>
      <xdr:rowOff>171289</xdr:rowOff>
    </xdr:from>
    <xdr:to>
      <xdr:col>17</xdr:col>
      <xdr:colOff>193115</xdr:colOff>
      <xdr:row>20</xdr:row>
      <xdr:rowOff>26053</xdr:rowOff>
    </xdr:to>
    <mc:AlternateContent xmlns:mc="http://schemas.openxmlformats.org/markup-compatibility/2006" xmlns:a14="http://schemas.microsoft.com/office/drawing/2010/main">
      <mc:Choice Requires="a14">
        <xdr:graphicFrame macro="">
          <xdr:nvGraphicFramePr>
            <xdr:cNvPr id="27" name="Job Role">
              <a:extLst>
                <a:ext uri="{FF2B5EF4-FFF2-40B4-BE49-F238E27FC236}">
                  <a16:creationId xmlns:a16="http://schemas.microsoft.com/office/drawing/2014/main" xmlns="" id="{96F9B8A4-2F6F-4C38-B534-3E35A991B4DC}"/>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116602" y="2177238"/>
              <a:ext cx="2484000" cy="149599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338666</xdr:colOff>
      <xdr:row>12</xdr:row>
      <xdr:rowOff>15307</xdr:rowOff>
    </xdr:from>
    <xdr:to>
      <xdr:col>19</xdr:col>
      <xdr:colOff>86256</xdr:colOff>
      <xdr:row>19</xdr:row>
      <xdr:rowOff>178794</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xmlns="" id="{453DDB85-FFDD-40C6-9EC1-EC1ECD1A42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46153" y="2203615"/>
              <a:ext cx="97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101601</xdr:colOff>
      <xdr:row>4</xdr:row>
      <xdr:rowOff>12700</xdr:rowOff>
    </xdr:from>
    <xdr:to>
      <xdr:col>16</xdr:col>
      <xdr:colOff>539751</xdr:colOff>
      <xdr:row>11</xdr:row>
      <xdr:rowOff>25400</xdr:rowOff>
    </xdr:to>
    <xdr:graphicFrame macro="">
      <xdr:nvGraphicFramePr>
        <xdr:cNvPr id="29" name="Chart 28">
          <a:extLst>
            <a:ext uri="{FF2B5EF4-FFF2-40B4-BE49-F238E27FC236}">
              <a16:creationId xmlns:a16="http://schemas.microsoft.com/office/drawing/2014/main" xmlns="" id="{4453AFF5-6A98-4138-B010-AFCBBAA05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91178</xdr:colOff>
      <xdr:row>1</xdr:row>
      <xdr:rowOff>6512</xdr:rowOff>
    </xdr:from>
    <xdr:to>
      <xdr:col>16</xdr:col>
      <xdr:colOff>214923</xdr:colOff>
      <xdr:row>3</xdr:row>
      <xdr:rowOff>13026</xdr:rowOff>
    </xdr:to>
    <xdr:sp macro="" textlink="">
      <xdr:nvSpPr>
        <xdr:cNvPr id="7" name="Rectangle 6"/>
        <xdr:cNvSpPr/>
      </xdr:nvSpPr>
      <xdr:spPr>
        <a:xfrm>
          <a:off x="8662050" y="188871"/>
          <a:ext cx="1348155" cy="371232"/>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273539</xdr:colOff>
      <xdr:row>22</xdr:row>
      <xdr:rowOff>91180</xdr:rowOff>
    </xdr:from>
    <xdr:to>
      <xdr:col>15</xdr:col>
      <xdr:colOff>442872</xdr:colOff>
      <xdr:row>23</xdr:row>
      <xdr:rowOff>123744</xdr:rowOff>
    </xdr:to>
    <xdr:sp macro="" textlink="">
      <xdr:nvSpPr>
        <xdr:cNvPr id="10" name="TextBox 9"/>
        <xdr:cNvSpPr txBox="1"/>
      </xdr:nvSpPr>
      <xdr:spPr>
        <a:xfrm>
          <a:off x="8232206" y="4103077"/>
          <a:ext cx="1393743" cy="21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p>
      </xdr:txBody>
    </xdr:sp>
    <xdr:clientData/>
  </xdr:twoCellAnchor>
  <xdr:twoCellAnchor>
    <xdr:from>
      <xdr:col>16</xdr:col>
      <xdr:colOff>397281</xdr:colOff>
      <xdr:row>1</xdr:row>
      <xdr:rowOff>0</xdr:rowOff>
    </xdr:from>
    <xdr:to>
      <xdr:col>18</xdr:col>
      <xdr:colOff>586154</xdr:colOff>
      <xdr:row>3</xdr:row>
      <xdr:rowOff>13026</xdr:rowOff>
    </xdr:to>
    <xdr:sp macro="" textlink="">
      <xdr:nvSpPr>
        <xdr:cNvPr id="11" name="Rectangle 10"/>
        <xdr:cNvSpPr/>
      </xdr:nvSpPr>
      <xdr:spPr>
        <a:xfrm>
          <a:off x="10192563" y="182359"/>
          <a:ext cx="1413283" cy="37774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377744</xdr:colOff>
      <xdr:row>0</xdr:row>
      <xdr:rowOff>149795</xdr:rowOff>
    </xdr:from>
    <xdr:to>
      <xdr:col>19</xdr:col>
      <xdr:colOff>19539</xdr:colOff>
      <xdr:row>2</xdr:row>
      <xdr:rowOff>19538</xdr:rowOff>
    </xdr:to>
    <xdr:sp macro="" textlink="">
      <xdr:nvSpPr>
        <xdr:cNvPr id="12" name="TextBox 11"/>
        <xdr:cNvSpPr txBox="1"/>
      </xdr:nvSpPr>
      <xdr:spPr>
        <a:xfrm>
          <a:off x="10173026" y="149795"/>
          <a:ext cx="1478410"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TOTAL EMPLOYEE</a:t>
          </a:r>
          <a:r>
            <a:rPr lang="en-IN" sz="1100" b="1" baseline="0"/>
            <a:t>S</a:t>
          </a:r>
          <a:endParaRPr lang="en-IN" sz="1100" b="1"/>
        </a:p>
      </xdr:txBody>
    </xdr:sp>
    <xdr:clientData/>
  </xdr:twoCellAnchor>
  <xdr:twoCellAnchor editAs="oneCell">
    <xdr:from>
      <xdr:col>2</xdr:col>
      <xdr:colOff>104207</xdr:colOff>
      <xdr:row>0</xdr:row>
      <xdr:rowOff>104205</xdr:rowOff>
    </xdr:from>
    <xdr:to>
      <xdr:col>3</xdr:col>
      <xdr:colOff>136770</xdr:colOff>
      <xdr:row>3</xdr:row>
      <xdr:rowOff>110718</xdr:rowOff>
    </xdr:to>
    <xdr:pic>
      <xdr:nvPicPr>
        <xdr:cNvPr id="13" name="Picture 1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28617" y="104205"/>
          <a:ext cx="644768" cy="55359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14</xdr:col>
      <xdr:colOff>306102</xdr:colOff>
      <xdr:row>1</xdr:row>
      <xdr:rowOff>117231</xdr:rowOff>
    </xdr:from>
    <xdr:to>
      <xdr:col>15</xdr:col>
      <xdr:colOff>553588</xdr:colOff>
      <xdr:row>2</xdr:row>
      <xdr:rowOff>175846</xdr:rowOff>
    </xdr:to>
    <xdr:sp macro="" textlink="'PIVOT TABLE'!I17">
      <xdr:nvSpPr>
        <xdr:cNvPr id="14" name="TextBox 13"/>
        <xdr:cNvSpPr txBox="1"/>
      </xdr:nvSpPr>
      <xdr:spPr>
        <a:xfrm>
          <a:off x="8876974" y="299590"/>
          <a:ext cx="859691" cy="24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900A6E-EB11-4109-AB7C-834049DD89E1}" type="TxLink">
            <a:rPr lang="en-IN" sz="1100" b="1"/>
            <a:pPr/>
            <a:t>2601993</a:t>
          </a:fld>
          <a:endParaRPr lang="en-IN" sz="1100" b="1"/>
        </a:p>
      </xdr:txBody>
    </xdr:sp>
    <xdr:clientData/>
  </xdr:twoCellAnchor>
  <xdr:twoCellAnchor>
    <xdr:from>
      <xdr:col>17</xdr:col>
      <xdr:colOff>240973</xdr:colOff>
      <xdr:row>1</xdr:row>
      <xdr:rowOff>97693</xdr:rowOff>
    </xdr:from>
    <xdr:to>
      <xdr:col>18</xdr:col>
      <xdr:colOff>306101</xdr:colOff>
      <xdr:row>2</xdr:row>
      <xdr:rowOff>136769</xdr:rowOff>
    </xdr:to>
    <xdr:sp macro="" textlink="'PIVOT TABLE'!B21">
      <xdr:nvSpPr>
        <xdr:cNvPr id="16" name="TextBox 15"/>
        <xdr:cNvSpPr txBox="1"/>
      </xdr:nvSpPr>
      <xdr:spPr>
        <a:xfrm>
          <a:off x="10648460" y="280052"/>
          <a:ext cx="677333" cy="221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75E748-AC09-4FD6-BA7E-638E8BAD00DB}" type="TxLink">
            <a:rPr lang="en-US" b="1"/>
            <a:pPr/>
            <a:t>40</a:t>
          </a:fld>
          <a:endParaRPr lang="en-US" b="1"/>
        </a:p>
      </xdr:txBody>
    </xdr:sp>
    <xdr:clientData/>
  </xdr:twoCellAnchor>
  <xdr:twoCellAnchor editAs="oneCell">
    <xdr:from>
      <xdr:col>14</xdr:col>
      <xdr:colOff>208410</xdr:colOff>
      <xdr:row>0</xdr:row>
      <xdr:rowOff>162821</xdr:rowOff>
    </xdr:from>
    <xdr:to>
      <xdr:col>16</xdr:col>
      <xdr:colOff>14313</xdr:colOff>
      <xdr:row>2</xdr:row>
      <xdr:rowOff>96833</xdr:rowOff>
    </xdr:to>
    <xdr:pic>
      <xdr:nvPicPr>
        <xdr:cNvPr id="20" name="Picture 19"/>
        <xdr:cNvPicPr>
          <a:picLocks noChangeAspect="1"/>
        </xdr:cNvPicPr>
      </xdr:nvPicPr>
      <xdr:blipFill>
        <a:blip xmlns:r="http://schemas.openxmlformats.org/officeDocument/2006/relationships" r:embed="rId7"/>
        <a:stretch>
          <a:fillRect/>
        </a:stretch>
      </xdr:blipFill>
      <xdr:spPr>
        <a:xfrm>
          <a:off x="8779282" y="162821"/>
          <a:ext cx="1030313" cy="298730"/>
        </a:xfrm>
        <a:prstGeom prst="rect">
          <a:avLst/>
        </a:prstGeom>
      </xdr:spPr>
    </xdr:pic>
    <xdr:clientData/>
  </xdr:twoCellAnchor>
  <xdr:twoCellAnchor>
    <xdr:from>
      <xdr:col>13</xdr:col>
      <xdr:colOff>26051</xdr:colOff>
      <xdr:row>20</xdr:row>
      <xdr:rowOff>130256</xdr:rowOff>
    </xdr:from>
    <xdr:to>
      <xdr:col>18</xdr:col>
      <xdr:colOff>345179</xdr:colOff>
      <xdr:row>28</xdr:row>
      <xdr:rowOff>162822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188870</xdr:colOff>
      <xdr:row>20</xdr:row>
      <xdr:rowOff>136771</xdr:rowOff>
    </xdr:from>
    <xdr:to>
      <xdr:col>19</xdr:col>
      <xdr:colOff>345179</xdr:colOff>
      <xdr:row>25</xdr:row>
      <xdr:rowOff>26052</xdr:rowOff>
    </xdr:to>
    <xdr:sp macro="" textlink="">
      <xdr:nvSpPr>
        <xdr:cNvPr id="32" name="Rectangle 31"/>
        <xdr:cNvSpPr/>
      </xdr:nvSpPr>
      <xdr:spPr>
        <a:xfrm>
          <a:off x="8147537" y="3783950"/>
          <a:ext cx="3829539" cy="80107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201898</xdr:colOff>
      <xdr:row>21</xdr:row>
      <xdr:rowOff>45590</xdr:rowOff>
    </xdr:from>
    <xdr:to>
      <xdr:col>19</xdr:col>
      <xdr:colOff>423334</xdr:colOff>
      <xdr:row>26</xdr:row>
      <xdr:rowOff>6513</xdr:rowOff>
    </xdr:to>
    <xdr:sp macro="" textlink="">
      <xdr:nvSpPr>
        <xdr:cNvPr id="33" name="TextBox 32"/>
        <xdr:cNvSpPr txBox="1"/>
      </xdr:nvSpPr>
      <xdr:spPr>
        <a:xfrm>
          <a:off x="11221590" y="3875128"/>
          <a:ext cx="833641" cy="87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Employee Age Distribution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dhya Menon" refreshedDate="46119.894894791665" createdVersion="8" refreshedVersion="8" minRefreshableVersion="3" recordCount="40">
  <cacheSource type="worksheet">
    <worksheetSource name="Table1"/>
  </cacheSource>
  <cacheFields count="9">
    <cacheField name="Employee ID" numFmtId="0">
      <sharedItems count="4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haredItems>
    </cacheField>
    <cacheField name="Employee Name" numFmtId="0">
      <sharedItems count="40">
        <s v="Anjali"/>
        <s v="Rahul"/>
        <s v="Arjun"/>
        <s v="Neha"/>
        <s v="Vishnu"/>
        <s v="Priya"/>
        <s v="Sneha"/>
        <s v="Kiran"/>
        <s v="Akhil"/>
        <s v="Meera"/>
        <s v="Deepak"/>
        <s v="Riya"/>
        <s v="Manu"/>
        <s v="Divya"/>
        <s v="Arathi"/>
        <s v="Sanjay"/>
        <s v="Reshma"/>
        <s v="Nikhil"/>
        <s v="Greeshma"/>
        <s v="Abhinav"/>
        <s v="Anoop"/>
        <s v="Lekha"/>
        <s v="Varun"/>
        <s v="Nimisha"/>
        <s v="Adarsh"/>
        <s v="Fathima"/>
        <s v="Jithin"/>
        <s v="Keerthi"/>
        <s v="Naveen"/>
        <s v="Pooja"/>
        <s v="Rohit"/>
        <s v="Sreya"/>
        <s v="Tejas"/>
        <s v="Umesh"/>
        <s v="Vivek"/>
        <s v="Anu"/>
        <s v="Basil"/>
        <s v="Christy"/>
        <s v="Dileep"/>
        <s v="Esha"/>
      </sharedItems>
    </cacheField>
    <cacheField name="Age" numFmtId="0">
      <sharedItems containsSemiMixedTypes="0" containsString="0" containsNumber="1" containsInteger="1" minValue="22" maxValue="37" count="15">
        <n v="23"/>
        <n v="22"/>
        <n v="35"/>
        <n v="36"/>
        <n v="37"/>
        <n v="28"/>
        <n v="25"/>
        <n v="29"/>
        <n v="24"/>
        <n v="33"/>
        <n v="31"/>
        <n v="27"/>
        <n v="26"/>
        <n v="34"/>
        <n v="32"/>
      </sharedItems>
    </cacheField>
    <cacheField name="Experience (Years)" numFmtId="0">
      <sharedItems containsSemiMixedTypes="0" containsString="0" containsNumber="1" containsInteger="1" minValue="1" maxValue="12" count="10">
        <n v="8"/>
        <n v="4"/>
        <n v="1"/>
        <n v="11"/>
        <n v="6"/>
        <n v="2"/>
        <n v="10"/>
        <n v="9"/>
        <n v="12"/>
        <n v="7"/>
      </sharedItems>
    </cacheField>
    <cacheField name="Job Role" numFmtId="0">
      <sharedItems count="10">
        <s v="Accounts Trainee"/>
        <s v="Audit Assistant"/>
        <s v="Accounts Executive"/>
        <s v="Finance Manager"/>
        <s v="Internal Auditor"/>
        <s v="Tax Consultant"/>
        <s v="Audit Manager"/>
        <s v="GST Analyst"/>
        <s v="Senior Auditor"/>
        <s v="Senior Accountant"/>
      </sharedItems>
    </cacheField>
    <cacheField name="Department" numFmtId="0">
      <sharedItems count="4">
        <s v="Taxation"/>
        <s v="Finance"/>
        <s v="Accounts"/>
        <s v="Audit"/>
      </sharedItems>
    </cacheField>
    <cacheField name="Reporting Manager" numFmtId="0">
      <sharedItems count="5">
        <s v="Partner"/>
        <s v="Tax Manager"/>
        <s v="Finance Manager"/>
        <s v="Senior Accountant"/>
        <s v="Audit Manager"/>
      </sharedItems>
    </cacheField>
    <cacheField name="Salary (₹)" numFmtId="0">
      <sharedItems containsSemiMixedTypes="0" containsString="0" containsNumber="1" containsInteger="1" minValue="15636" maxValue="117948"/>
    </cacheField>
    <cacheField name="Salary Paid (Yes/No)" numFmtId="0">
      <sharedItems count="2">
        <s v="No"/>
        <s v="Yes"/>
      </sharedItems>
    </cacheField>
  </cacheFields>
  <extLst>
    <ext xmlns:x14="http://schemas.microsoft.com/office/spreadsheetml/2009/9/main" uri="{725AE2AE-9491-48be-B2B4-4EB974FC3084}">
      <x14:pivotCacheDefinition pivotCacheId="1249972599"/>
    </ext>
  </extLst>
</pivotCacheDefinition>
</file>

<file path=xl/pivotCache/pivotCacheRecords1.xml><?xml version="1.0" encoding="utf-8"?>
<pivotCacheRecords xmlns="http://schemas.openxmlformats.org/spreadsheetml/2006/main" xmlns:r="http://schemas.openxmlformats.org/officeDocument/2006/relationships" count="40">
  <r>
    <x v="0"/>
    <x v="0"/>
    <x v="0"/>
    <x v="0"/>
    <x v="0"/>
    <x v="0"/>
    <x v="0"/>
    <n v="102784"/>
    <x v="0"/>
  </r>
  <r>
    <x v="1"/>
    <x v="1"/>
    <x v="1"/>
    <x v="1"/>
    <x v="1"/>
    <x v="1"/>
    <x v="1"/>
    <n v="17934"/>
    <x v="1"/>
  </r>
  <r>
    <x v="2"/>
    <x v="2"/>
    <x v="2"/>
    <x v="2"/>
    <x v="2"/>
    <x v="2"/>
    <x v="2"/>
    <n v="110097"/>
    <x v="1"/>
  </r>
  <r>
    <x v="3"/>
    <x v="3"/>
    <x v="3"/>
    <x v="3"/>
    <x v="3"/>
    <x v="2"/>
    <x v="3"/>
    <n v="50827"/>
    <x v="1"/>
  </r>
  <r>
    <x v="4"/>
    <x v="4"/>
    <x v="1"/>
    <x v="4"/>
    <x v="2"/>
    <x v="0"/>
    <x v="4"/>
    <n v="106255"/>
    <x v="0"/>
  </r>
  <r>
    <x v="5"/>
    <x v="5"/>
    <x v="4"/>
    <x v="2"/>
    <x v="4"/>
    <x v="2"/>
    <x v="2"/>
    <n v="47331"/>
    <x v="1"/>
  </r>
  <r>
    <x v="6"/>
    <x v="6"/>
    <x v="4"/>
    <x v="5"/>
    <x v="1"/>
    <x v="0"/>
    <x v="3"/>
    <n v="74611"/>
    <x v="1"/>
  </r>
  <r>
    <x v="7"/>
    <x v="7"/>
    <x v="5"/>
    <x v="4"/>
    <x v="0"/>
    <x v="2"/>
    <x v="1"/>
    <n v="101637"/>
    <x v="1"/>
  </r>
  <r>
    <x v="8"/>
    <x v="8"/>
    <x v="0"/>
    <x v="6"/>
    <x v="5"/>
    <x v="3"/>
    <x v="3"/>
    <n v="26870"/>
    <x v="0"/>
  </r>
  <r>
    <x v="9"/>
    <x v="9"/>
    <x v="6"/>
    <x v="7"/>
    <x v="2"/>
    <x v="0"/>
    <x v="2"/>
    <n v="22467"/>
    <x v="0"/>
  </r>
  <r>
    <x v="10"/>
    <x v="10"/>
    <x v="7"/>
    <x v="4"/>
    <x v="2"/>
    <x v="1"/>
    <x v="3"/>
    <n v="75749"/>
    <x v="0"/>
  </r>
  <r>
    <x v="11"/>
    <x v="11"/>
    <x v="0"/>
    <x v="6"/>
    <x v="2"/>
    <x v="1"/>
    <x v="1"/>
    <n v="33216"/>
    <x v="0"/>
  </r>
  <r>
    <x v="12"/>
    <x v="12"/>
    <x v="2"/>
    <x v="2"/>
    <x v="6"/>
    <x v="1"/>
    <x v="0"/>
    <n v="21955"/>
    <x v="1"/>
  </r>
  <r>
    <x v="13"/>
    <x v="13"/>
    <x v="8"/>
    <x v="8"/>
    <x v="1"/>
    <x v="0"/>
    <x v="4"/>
    <n v="45879"/>
    <x v="0"/>
  </r>
  <r>
    <x v="14"/>
    <x v="14"/>
    <x v="4"/>
    <x v="9"/>
    <x v="7"/>
    <x v="3"/>
    <x v="3"/>
    <n v="80471"/>
    <x v="0"/>
  </r>
  <r>
    <x v="15"/>
    <x v="15"/>
    <x v="6"/>
    <x v="5"/>
    <x v="0"/>
    <x v="0"/>
    <x v="1"/>
    <n v="117948"/>
    <x v="0"/>
  </r>
  <r>
    <x v="16"/>
    <x v="16"/>
    <x v="9"/>
    <x v="4"/>
    <x v="6"/>
    <x v="1"/>
    <x v="0"/>
    <n v="25640"/>
    <x v="1"/>
  </r>
  <r>
    <x v="17"/>
    <x v="17"/>
    <x v="6"/>
    <x v="4"/>
    <x v="3"/>
    <x v="3"/>
    <x v="2"/>
    <n v="31048"/>
    <x v="1"/>
  </r>
  <r>
    <x v="18"/>
    <x v="18"/>
    <x v="10"/>
    <x v="7"/>
    <x v="5"/>
    <x v="3"/>
    <x v="2"/>
    <n v="57775"/>
    <x v="1"/>
  </r>
  <r>
    <x v="19"/>
    <x v="19"/>
    <x v="11"/>
    <x v="3"/>
    <x v="1"/>
    <x v="3"/>
    <x v="4"/>
    <n v="45692"/>
    <x v="1"/>
  </r>
  <r>
    <x v="20"/>
    <x v="20"/>
    <x v="12"/>
    <x v="7"/>
    <x v="2"/>
    <x v="3"/>
    <x v="0"/>
    <n v="44996"/>
    <x v="1"/>
  </r>
  <r>
    <x v="21"/>
    <x v="21"/>
    <x v="12"/>
    <x v="9"/>
    <x v="0"/>
    <x v="0"/>
    <x v="2"/>
    <n v="58926"/>
    <x v="0"/>
  </r>
  <r>
    <x v="22"/>
    <x v="22"/>
    <x v="0"/>
    <x v="1"/>
    <x v="7"/>
    <x v="2"/>
    <x v="0"/>
    <n v="51757"/>
    <x v="0"/>
  </r>
  <r>
    <x v="23"/>
    <x v="23"/>
    <x v="13"/>
    <x v="0"/>
    <x v="5"/>
    <x v="0"/>
    <x v="1"/>
    <n v="93889"/>
    <x v="0"/>
  </r>
  <r>
    <x v="24"/>
    <x v="24"/>
    <x v="13"/>
    <x v="7"/>
    <x v="3"/>
    <x v="3"/>
    <x v="2"/>
    <n v="68278"/>
    <x v="1"/>
  </r>
  <r>
    <x v="25"/>
    <x v="25"/>
    <x v="1"/>
    <x v="7"/>
    <x v="8"/>
    <x v="1"/>
    <x v="3"/>
    <n v="115066"/>
    <x v="0"/>
  </r>
  <r>
    <x v="26"/>
    <x v="26"/>
    <x v="7"/>
    <x v="6"/>
    <x v="7"/>
    <x v="0"/>
    <x v="3"/>
    <n v="45436"/>
    <x v="1"/>
  </r>
  <r>
    <x v="27"/>
    <x v="27"/>
    <x v="8"/>
    <x v="0"/>
    <x v="8"/>
    <x v="2"/>
    <x v="2"/>
    <n v="15636"/>
    <x v="1"/>
  </r>
  <r>
    <x v="28"/>
    <x v="28"/>
    <x v="9"/>
    <x v="8"/>
    <x v="2"/>
    <x v="0"/>
    <x v="3"/>
    <n v="43883"/>
    <x v="1"/>
  </r>
  <r>
    <x v="29"/>
    <x v="29"/>
    <x v="14"/>
    <x v="1"/>
    <x v="4"/>
    <x v="2"/>
    <x v="0"/>
    <n v="114600"/>
    <x v="0"/>
  </r>
  <r>
    <x v="30"/>
    <x v="30"/>
    <x v="14"/>
    <x v="9"/>
    <x v="7"/>
    <x v="1"/>
    <x v="0"/>
    <n v="94143"/>
    <x v="0"/>
  </r>
  <r>
    <x v="31"/>
    <x v="31"/>
    <x v="12"/>
    <x v="6"/>
    <x v="5"/>
    <x v="0"/>
    <x v="1"/>
    <n v="99200"/>
    <x v="0"/>
  </r>
  <r>
    <x v="32"/>
    <x v="32"/>
    <x v="1"/>
    <x v="8"/>
    <x v="7"/>
    <x v="2"/>
    <x v="0"/>
    <n v="18501"/>
    <x v="1"/>
  </r>
  <r>
    <x v="33"/>
    <x v="33"/>
    <x v="10"/>
    <x v="1"/>
    <x v="2"/>
    <x v="1"/>
    <x v="2"/>
    <n v="110159"/>
    <x v="0"/>
  </r>
  <r>
    <x v="34"/>
    <x v="34"/>
    <x v="10"/>
    <x v="9"/>
    <x v="1"/>
    <x v="0"/>
    <x v="2"/>
    <n v="109291"/>
    <x v="0"/>
  </r>
  <r>
    <x v="35"/>
    <x v="35"/>
    <x v="2"/>
    <x v="5"/>
    <x v="6"/>
    <x v="1"/>
    <x v="2"/>
    <n v="71646"/>
    <x v="1"/>
  </r>
  <r>
    <x v="36"/>
    <x v="36"/>
    <x v="6"/>
    <x v="2"/>
    <x v="2"/>
    <x v="2"/>
    <x v="1"/>
    <n v="73211"/>
    <x v="1"/>
  </r>
  <r>
    <x v="37"/>
    <x v="37"/>
    <x v="12"/>
    <x v="4"/>
    <x v="8"/>
    <x v="3"/>
    <x v="1"/>
    <n v="100962"/>
    <x v="0"/>
  </r>
  <r>
    <x v="38"/>
    <x v="38"/>
    <x v="8"/>
    <x v="2"/>
    <x v="9"/>
    <x v="3"/>
    <x v="3"/>
    <n v="54006"/>
    <x v="0"/>
  </r>
  <r>
    <x v="39"/>
    <x v="39"/>
    <x v="6"/>
    <x v="6"/>
    <x v="1"/>
    <x v="2"/>
    <x v="1"/>
    <n v="222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3:B6" firstHeaderRow="1" firstDataRow="1" firstDataCol="1"/>
  <pivotFields count="9">
    <pivotField showAll="0"/>
    <pivotField dataField="1"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showAll="0">
      <items count="11">
        <item x="2"/>
        <item x="0"/>
        <item x="1"/>
        <item x="6"/>
        <item x="3"/>
        <item x="7"/>
        <item x="4"/>
        <item x="9"/>
        <item x="8"/>
        <item x="5"/>
        <item t="default"/>
      </items>
    </pivotField>
    <pivotField showAll="0">
      <items count="5">
        <item x="2"/>
        <item x="3"/>
        <item x="1"/>
        <item x="0"/>
        <item t="default"/>
      </items>
    </pivotField>
    <pivotField showAll="0"/>
    <pivotField showAll="0"/>
    <pivotField axis="axisRow" showAll="0">
      <items count="3">
        <item x="0"/>
        <item x="1"/>
        <item t="default"/>
      </items>
    </pivotField>
  </pivotFields>
  <rowFields count="1">
    <field x="8"/>
  </rowFields>
  <rowItems count="3">
    <i>
      <x/>
    </i>
    <i>
      <x v="1"/>
    </i>
    <i t="grand">
      <x/>
    </i>
  </rowItems>
  <colItems count="1">
    <i/>
  </colItems>
  <dataFields count="1">
    <dataField name="Count of Employee Nam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G22:H27" firstHeaderRow="1" firstDataRow="1" firstDataCol="1"/>
  <pivotFields count="9">
    <pivotField showAll="0"/>
    <pivotField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dataField="1" showAll="0">
      <items count="11">
        <item x="2"/>
        <item x="0"/>
        <item x="1"/>
        <item x="6"/>
        <item x="3"/>
        <item x="7"/>
        <item x="4"/>
        <item x="9"/>
        <item x="8"/>
        <item x="5"/>
        <item t="default"/>
      </items>
    </pivotField>
    <pivotField axis="axisRow" showAll="0">
      <items count="5">
        <item x="2"/>
        <item x="3"/>
        <item x="1"/>
        <item x="0"/>
        <item t="default"/>
      </items>
    </pivotField>
    <pivotField showAll="0"/>
    <pivotField showAll="0"/>
    <pivotField showAll="0">
      <items count="3">
        <item x="0"/>
        <item x="1"/>
        <item t="default"/>
      </items>
    </pivotField>
  </pivotFields>
  <rowFields count="1">
    <field x="5"/>
  </rowFields>
  <rowItems count="5">
    <i>
      <x/>
    </i>
    <i>
      <x v="1"/>
    </i>
    <i>
      <x v="2"/>
    </i>
    <i>
      <x v="3"/>
    </i>
    <i t="grand">
      <x/>
    </i>
  </rowItems>
  <colItems count="1">
    <i/>
  </colItems>
  <dataFields count="1">
    <dataField name="Count of Job Rol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26">
  <location ref="A23:C40" firstHeaderRow="1" firstDataRow="1" firstDataCol="0"/>
  <pivotFields count="9">
    <pivotField showAll="0"/>
    <pivotField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showAll="0">
      <items count="11">
        <item x="2"/>
        <item x="0"/>
        <item x="1"/>
        <item x="6"/>
        <item x="3"/>
        <item x="7"/>
        <item x="4"/>
        <item x="9"/>
        <item x="8"/>
        <item x="5"/>
        <item t="default"/>
      </items>
    </pivotField>
    <pivotField showAll="0">
      <items count="5">
        <item x="2"/>
        <item x="3"/>
        <item x="1"/>
        <item x="0"/>
        <item t="default"/>
      </items>
    </pivotField>
    <pivotField showAll="0"/>
    <pivotField showAll="0"/>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9">
  <location ref="J9:K25" firstHeaderRow="1" firstDataRow="1" firstDataCol="1"/>
  <pivotFields count="9">
    <pivotField showAll="0"/>
    <pivotField dataField="1"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axis="axisRow" showAll="0">
      <items count="16">
        <item x="1"/>
        <item x="0"/>
        <item x="8"/>
        <item x="6"/>
        <item x="12"/>
        <item x="11"/>
        <item x="5"/>
        <item x="7"/>
        <item x="10"/>
        <item x="14"/>
        <item x="9"/>
        <item x="13"/>
        <item x="2"/>
        <item x="3"/>
        <item x="4"/>
        <item t="default"/>
      </items>
    </pivotField>
    <pivotField showAll="0"/>
    <pivotField showAll="0">
      <items count="11">
        <item x="2"/>
        <item x="0"/>
        <item x="1"/>
        <item x="6"/>
        <item x="3"/>
        <item x="7"/>
        <item x="4"/>
        <item x="9"/>
        <item x="8"/>
        <item x="5"/>
        <item t="default"/>
      </items>
    </pivotField>
    <pivotField showAll="0">
      <items count="5">
        <item x="2"/>
        <item x="3"/>
        <item x="1"/>
        <item x="0"/>
        <item t="default"/>
      </items>
    </pivotField>
    <pivotField showAll="0"/>
    <pivotField showAll="0"/>
    <pivotField showAll="0">
      <items count="3">
        <item x="0"/>
        <item x="1"/>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Employee Name" fld="1" subtotal="count" baseField="0"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0">
  <location ref="G5:H10" firstHeaderRow="1" firstDataRow="1" firstDataCol="1"/>
  <pivotFields count="9">
    <pivotField showAll="0"/>
    <pivotField dataField="1"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showAll="0">
      <items count="11">
        <item x="2"/>
        <item x="0"/>
        <item x="1"/>
        <item x="6"/>
        <item x="3"/>
        <item x="7"/>
        <item x="4"/>
        <item x="9"/>
        <item x="8"/>
        <item x="5"/>
        <item t="default"/>
      </items>
    </pivotField>
    <pivotField axis="axisRow" showAll="0">
      <items count="5">
        <item x="2"/>
        <item x="3"/>
        <item x="1"/>
        <item x="0"/>
        <item t="default"/>
      </items>
    </pivotField>
    <pivotField showAll="0"/>
    <pivotField showAll="0"/>
    <pivotField showAll="0">
      <items count="3">
        <item x="0"/>
        <item x="1"/>
        <item t="default"/>
      </items>
    </pivotField>
  </pivotFields>
  <rowFields count="1">
    <field x="5"/>
  </rowFields>
  <rowItems count="5">
    <i>
      <x/>
    </i>
    <i>
      <x v="1"/>
    </i>
    <i>
      <x v="2"/>
    </i>
    <i>
      <x v="3"/>
    </i>
    <i t="grand">
      <x/>
    </i>
  </rowItems>
  <colItems count="1">
    <i/>
  </colItems>
  <dataFields count="1">
    <dataField name="Count of Employee Name" fld="1" subtotal="count" baseField="0" baseItem="0"/>
  </dataFields>
  <chartFormats count="3">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0">
  <location ref="A9:B20" firstHeaderRow="1" firstDataRow="1" firstDataCol="1"/>
  <pivotFields count="9">
    <pivotField showAll="0"/>
    <pivotField dataField="1"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axis="axisRow" showAll="0">
      <items count="11">
        <item x="2"/>
        <item x="0"/>
        <item x="1"/>
        <item x="6"/>
        <item x="3"/>
        <item x="7"/>
        <item x="4"/>
        <item x="9"/>
        <item x="8"/>
        <item x="5"/>
        <item t="default"/>
      </items>
    </pivotField>
    <pivotField showAll="0">
      <items count="5">
        <item x="2"/>
        <item x="3"/>
        <item x="1"/>
        <item x="0"/>
        <item t="default"/>
      </items>
    </pivotField>
    <pivotField showAll="0"/>
    <pivotField showAll="0"/>
    <pivotField showAll="0">
      <items count="3">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Count of Employee Name" fld="1" subtotal="count" baseField="0" baseItem="0"/>
  </dataFields>
  <chartFormats count="11">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4" count="1" selected="0">
            <x v="0"/>
          </reference>
        </references>
      </pivotArea>
    </chartFormat>
    <chartFormat chart="9" format="23">
      <pivotArea type="data" outline="0" fieldPosition="0">
        <references count="2">
          <reference field="4294967294" count="1" selected="0">
            <x v="0"/>
          </reference>
          <reference field="4" count="1" selected="0">
            <x v="1"/>
          </reference>
        </references>
      </pivotArea>
    </chartFormat>
    <chartFormat chart="9" format="24">
      <pivotArea type="data" outline="0" fieldPosition="0">
        <references count="2">
          <reference field="4294967294" count="1" selected="0">
            <x v="0"/>
          </reference>
          <reference field="4" count="1" selected="0">
            <x v="2"/>
          </reference>
        </references>
      </pivotArea>
    </chartFormat>
    <chartFormat chart="9" format="25">
      <pivotArea type="data" outline="0" fieldPosition="0">
        <references count="2">
          <reference field="4294967294" count="1" selected="0">
            <x v="0"/>
          </reference>
          <reference field="4" count="1" selected="0">
            <x v="3"/>
          </reference>
        </references>
      </pivotArea>
    </chartFormat>
    <chartFormat chart="9" format="26">
      <pivotArea type="data" outline="0" fieldPosition="0">
        <references count="2">
          <reference field="4294967294" count="1" selected="0">
            <x v="0"/>
          </reference>
          <reference field="4" count="1" selected="0">
            <x v="4"/>
          </reference>
        </references>
      </pivotArea>
    </chartFormat>
    <chartFormat chart="9" format="27">
      <pivotArea type="data" outline="0" fieldPosition="0">
        <references count="2">
          <reference field="4294967294" count="1" selected="0">
            <x v="0"/>
          </reference>
          <reference field="4" count="1" selected="0">
            <x v="5"/>
          </reference>
        </references>
      </pivotArea>
    </chartFormat>
    <chartFormat chart="9" format="28">
      <pivotArea type="data" outline="0" fieldPosition="0">
        <references count="2">
          <reference field="4294967294" count="1" selected="0">
            <x v="0"/>
          </reference>
          <reference field="4" count="1" selected="0">
            <x v="6"/>
          </reference>
        </references>
      </pivotArea>
    </chartFormat>
    <chartFormat chart="9" format="29">
      <pivotArea type="data" outline="0" fieldPosition="0">
        <references count="2">
          <reference field="4294967294" count="1" selected="0">
            <x v="0"/>
          </reference>
          <reference field="4" count="1" selected="0">
            <x v="7"/>
          </reference>
        </references>
      </pivotArea>
    </chartFormat>
    <chartFormat chart="9" format="30">
      <pivotArea type="data" outline="0" fieldPosition="0">
        <references count="2">
          <reference field="4294967294" count="1" selected="0">
            <x v="0"/>
          </reference>
          <reference field="4" count="1" selected="0">
            <x v="8"/>
          </reference>
        </references>
      </pivotArea>
    </chartFormat>
    <chartFormat chart="9" format="3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2">
  <location ref="D12:E53" firstHeaderRow="1" firstDataRow="1" firstDataCol="1"/>
  <pivotFields count="9">
    <pivotField showAll="0"/>
    <pivotField axis="axisRow" showAll="0" sortType="ascending">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items count="16">
        <item x="1"/>
        <item x="0"/>
        <item x="8"/>
        <item x="6"/>
        <item x="12"/>
        <item x="11"/>
        <item x="5"/>
        <item x="7"/>
        <item x="10"/>
        <item x="14"/>
        <item x="9"/>
        <item x="13"/>
        <item x="2"/>
        <item x="3"/>
        <item x="4"/>
        <item t="default"/>
      </items>
    </pivotField>
    <pivotField dataField="1" showAll="0">
      <items count="11">
        <item x="2"/>
        <item x="5"/>
        <item x="1"/>
        <item x="4"/>
        <item x="9"/>
        <item x="0"/>
        <item x="7"/>
        <item x="6"/>
        <item x="3"/>
        <item x="8"/>
        <item t="default"/>
      </items>
    </pivotField>
    <pivotField showAll="0">
      <items count="11">
        <item x="2"/>
        <item x="0"/>
        <item x="1"/>
        <item x="6"/>
        <item x="3"/>
        <item x="7"/>
        <item x="4"/>
        <item x="9"/>
        <item x="8"/>
        <item x="5"/>
        <item t="default"/>
      </items>
    </pivotField>
    <pivotField showAll="0">
      <items count="5">
        <item x="2"/>
        <item x="3"/>
        <item x="1"/>
        <item x="0"/>
        <item t="default"/>
      </items>
    </pivotField>
    <pivotField showAll="0">
      <items count="6">
        <item x="4"/>
        <item x="2"/>
        <item x="0"/>
        <item x="3"/>
        <item x="1"/>
        <item t="default"/>
      </items>
    </pivotField>
    <pivotField showAll="0"/>
    <pivotField showAll="0">
      <items count="3">
        <item x="0"/>
        <item x="1"/>
        <item t="default"/>
      </items>
    </pivotField>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Experience (Years)" fld="3" baseField="0"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26">
  <location ref="D3:E8" firstHeaderRow="1" firstDataRow="1" firstDataCol="1"/>
  <pivotFields count="9">
    <pivotField showAll="0"/>
    <pivotField showAll="0">
      <items count="41">
        <item x="19"/>
        <item x="24"/>
        <item x="8"/>
        <item x="0"/>
        <item x="20"/>
        <item x="35"/>
        <item x="14"/>
        <item x="2"/>
        <item x="36"/>
        <item x="37"/>
        <item x="10"/>
        <item x="38"/>
        <item x="13"/>
        <item x="39"/>
        <item x="25"/>
        <item x="18"/>
        <item x="26"/>
        <item x="27"/>
        <item x="7"/>
        <item x="21"/>
        <item x="12"/>
        <item x="9"/>
        <item x="28"/>
        <item x="3"/>
        <item x="17"/>
        <item x="23"/>
        <item x="29"/>
        <item x="5"/>
        <item x="1"/>
        <item x="16"/>
        <item x="11"/>
        <item x="30"/>
        <item x="15"/>
        <item x="6"/>
        <item x="31"/>
        <item x="32"/>
        <item x="33"/>
        <item x="22"/>
        <item x="4"/>
        <item x="34"/>
        <item t="default"/>
      </items>
    </pivotField>
    <pivotField showAll="0"/>
    <pivotField showAll="0"/>
    <pivotField showAll="0">
      <items count="11">
        <item x="2"/>
        <item x="0"/>
        <item x="1"/>
        <item x="6"/>
        <item x="3"/>
        <item x="7"/>
        <item x="4"/>
        <item x="9"/>
        <item x="8"/>
        <item x="5"/>
        <item t="default"/>
      </items>
    </pivotField>
    <pivotField axis="axisRow" showAll="0">
      <items count="5">
        <item x="2"/>
        <item x="3"/>
        <item x="1"/>
        <item x="0"/>
        <item t="default"/>
      </items>
    </pivotField>
    <pivotField showAll="0"/>
    <pivotField dataField="1" showAll="0"/>
    <pivotField showAll="0">
      <items count="3">
        <item x="0"/>
        <item x="1"/>
        <item t="default"/>
      </items>
    </pivotField>
  </pivotFields>
  <rowFields count="1">
    <field x="5"/>
  </rowFields>
  <rowItems count="5">
    <i>
      <x/>
    </i>
    <i>
      <x v="1"/>
    </i>
    <i>
      <x v="2"/>
    </i>
    <i>
      <x v="3"/>
    </i>
    <i t="grand">
      <x/>
    </i>
  </rowItems>
  <colItems count="1">
    <i/>
  </colItems>
  <dataFields count="1">
    <dataField name="Sum of Salary (₹)" fld="7" baseField="0" baseItem="0"/>
  </dataFields>
  <chartFormats count="2">
    <chartFormat chart="16"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_Role" sourceName="Job Rol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249972599">
      <items count="10">
        <i x="2" s="1"/>
        <i x="0" s="1"/>
        <i x="1" s="1"/>
        <i x="6" s="1"/>
        <i x="3" s="1"/>
        <i x="7" s="1"/>
        <i x="4" s="1"/>
        <i x="9"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3"/>
    <pivotTable tabId="2" name="PivotTable5"/>
    <pivotTable tabId="2" name="PivotTable7"/>
    <pivotTable tabId="2" name="PivotTable1"/>
    <pivotTable tabId="2" name="PivotTable2"/>
    <pivotTable tabId="2" name="PivotTable4"/>
    <pivotTable tabId="2" name="PivotTable6"/>
    <pivotTable tabId="2" name="PivotTable8"/>
  </pivotTables>
  <data>
    <tabular pivotCacheId="1249972599">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 Role" cache="Slicer_Job_Role" caption="Job Role" columnCount="4" style="Slicer Style 1" rowHeight="241300"/>
  <slicer name="Department" cache="Slicer_Department" caption="Department" style="Slicer Style 1" rowHeight="241300"/>
</slicers>
</file>

<file path=xl/tables/table1.xml><?xml version="1.0" encoding="utf-8"?>
<table xmlns="http://schemas.openxmlformats.org/spreadsheetml/2006/main" id="1" name="Table1" displayName="Table1" ref="A1:I41" totalsRowShown="0">
  <autoFilter ref="A1:I41"/>
  <tableColumns count="9">
    <tableColumn id="1" name="Employee ID"/>
    <tableColumn id="2" name="Employee Name"/>
    <tableColumn id="3" name="Age"/>
    <tableColumn id="4" name="Experience (Years)"/>
    <tableColumn id="5" name="Job Role"/>
    <tableColumn id="6" name="Department"/>
    <tableColumn id="7" name="Reporting Manager"/>
    <tableColumn id="8" name="Salary (₹)"/>
    <tableColumn id="9" name="Salary Paid (Yes/N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53"/>
  <sheetViews>
    <sheetView topLeftCell="C1" workbookViewId="0">
      <selection activeCell="J5" sqref="J5"/>
    </sheetView>
  </sheetViews>
  <sheetFormatPr defaultRowHeight="14.4" x14ac:dyDescent="0.3"/>
  <cols>
    <col min="1" max="1" width="12.5546875" customWidth="1"/>
    <col min="2" max="2" width="22.88671875" customWidth="1"/>
    <col min="3" max="3" width="25.77734375" bestFit="1" customWidth="1"/>
    <col min="4" max="4" width="12.5546875" bestFit="1" customWidth="1"/>
    <col min="5" max="5" width="23.109375" customWidth="1"/>
    <col min="6" max="6" width="5.33203125" bestFit="1" customWidth="1"/>
    <col min="7" max="7" width="12.5546875" customWidth="1"/>
    <col min="8" max="8" width="15.88671875" customWidth="1"/>
    <col min="9" max="9" width="22.33203125" bestFit="1" customWidth="1"/>
    <col min="10" max="10" width="12.5546875" customWidth="1"/>
    <col min="11" max="11" width="22.88671875" customWidth="1"/>
    <col min="12" max="12" width="10.6640625" customWidth="1"/>
    <col min="13" max="13" width="17" bestFit="1" customWidth="1"/>
    <col min="14" max="15" width="10.77734375" bestFit="1" customWidth="1"/>
  </cols>
  <sheetData>
    <row r="3" spans="1:11" x14ac:dyDescent="0.3">
      <c r="A3" s="2" t="s">
        <v>109</v>
      </c>
      <c r="B3" t="s">
        <v>107</v>
      </c>
      <c r="D3" s="2" t="s">
        <v>109</v>
      </c>
      <c r="E3" t="s">
        <v>108</v>
      </c>
    </row>
    <row r="4" spans="1:11" ht="14.55" x14ac:dyDescent="0.35">
      <c r="A4" s="3" t="s">
        <v>14</v>
      </c>
      <c r="B4" s="1">
        <v>20</v>
      </c>
      <c r="D4" s="3" t="s">
        <v>24</v>
      </c>
      <c r="E4" s="1">
        <v>605818</v>
      </c>
    </row>
    <row r="5" spans="1:11" ht="14.55" x14ac:dyDescent="0.35">
      <c r="A5" s="3" t="s">
        <v>20</v>
      </c>
      <c r="B5" s="1">
        <v>20</v>
      </c>
      <c r="D5" s="3" t="s">
        <v>42</v>
      </c>
      <c r="E5" s="1">
        <v>510098</v>
      </c>
      <c r="G5" s="2" t="s">
        <v>109</v>
      </c>
      <c r="H5" t="s">
        <v>107</v>
      </c>
    </row>
    <row r="6" spans="1:11" ht="14.55" x14ac:dyDescent="0.35">
      <c r="A6" s="3" t="s">
        <v>110</v>
      </c>
      <c r="B6" s="1">
        <v>40</v>
      </c>
      <c r="D6" s="3" t="s">
        <v>18</v>
      </c>
      <c r="E6" s="1">
        <v>565508</v>
      </c>
      <c r="G6" s="3" t="s">
        <v>24</v>
      </c>
      <c r="H6" s="1">
        <v>10</v>
      </c>
    </row>
    <row r="7" spans="1:11" ht="14.55" x14ac:dyDescent="0.35">
      <c r="D7" s="3" t="s">
        <v>12</v>
      </c>
      <c r="E7" s="1">
        <v>920569</v>
      </c>
      <c r="G7" s="3" t="s">
        <v>42</v>
      </c>
      <c r="H7" s="1">
        <v>9</v>
      </c>
    </row>
    <row r="8" spans="1:11" x14ac:dyDescent="0.3">
      <c r="D8" s="3" t="s">
        <v>110</v>
      </c>
      <c r="E8" s="1">
        <v>2601993</v>
      </c>
      <c r="G8" s="3" t="s">
        <v>18</v>
      </c>
      <c r="H8" s="1">
        <v>9</v>
      </c>
    </row>
    <row r="9" spans="1:11" ht="14.55" x14ac:dyDescent="0.35">
      <c r="A9" s="2" t="s">
        <v>109</v>
      </c>
      <c r="B9" t="s">
        <v>107</v>
      </c>
      <c r="G9" s="3" t="s">
        <v>12</v>
      </c>
      <c r="H9" s="1">
        <v>12</v>
      </c>
      <c r="J9" s="2" t="s">
        <v>109</v>
      </c>
      <c r="K9" t="s">
        <v>107</v>
      </c>
    </row>
    <row r="10" spans="1:11" ht="14.55" x14ac:dyDescent="0.35">
      <c r="A10" s="3" t="s">
        <v>23</v>
      </c>
      <c r="B10" s="1">
        <v>9</v>
      </c>
      <c r="G10" s="3" t="s">
        <v>110</v>
      </c>
      <c r="H10" s="1">
        <v>40</v>
      </c>
      <c r="J10" s="3">
        <v>22</v>
      </c>
      <c r="K10" s="1">
        <v>4</v>
      </c>
    </row>
    <row r="11" spans="1:11" ht="14.55" x14ac:dyDescent="0.35">
      <c r="A11" s="3" t="s">
        <v>11</v>
      </c>
      <c r="B11" s="1">
        <v>4</v>
      </c>
      <c r="J11" s="3">
        <v>23</v>
      </c>
      <c r="K11" s="1">
        <v>4</v>
      </c>
    </row>
    <row r="12" spans="1:11" ht="14.55" x14ac:dyDescent="0.35">
      <c r="A12" s="3" t="s">
        <v>17</v>
      </c>
      <c r="B12" s="1">
        <v>6</v>
      </c>
      <c r="D12" s="2" t="s">
        <v>109</v>
      </c>
      <c r="E12" t="s">
        <v>111</v>
      </c>
      <c r="J12" s="3">
        <v>24</v>
      </c>
      <c r="K12" s="1">
        <v>3</v>
      </c>
    </row>
    <row r="13" spans="1:11" ht="14.55" x14ac:dyDescent="0.35">
      <c r="A13" s="3" t="s">
        <v>31</v>
      </c>
      <c r="B13" s="1">
        <v>3</v>
      </c>
      <c r="D13" s="3" t="s">
        <v>65</v>
      </c>
      <c r="E13" s="1">
        <v>11</v>
      </c>
      <c r="J13" s="3">
        <v>25</v>
      </c>
      <c r="K13" s="1">
        <v>5</v>
      </c>
    </row>
    <row r="14" spans="1:11" ht="14.55" x14ac:dyDescent="0.35">
      <c r="A14" s="3" t="s">
        <v>25</v>
      </c>
      <c r="B14" s="1">
        <v>3</v>
      </c>
      <c r="D14" s="3" t="s">
        <v>75</v>
      </c>
      <c r="E14" s="1">
        <v>9</v>
      </c>
      <c r="J14" s="3">
        <v>26</v>
      </c>
      <c r="K14" s="1">
        <v>4</v>
      </c>
    </row>
    <row r="15" spans="1:11" ht="14.55" x14ac:dyDescent="0.35">
      <c r="A15" s="3" t="s">
        <v>55</v>
      </c>
      <c r="B15" s="1">
        <v>5</v>
      </c>
      <c r="D15" s="3" t="s">
        <v>40</v>
      </c>
      <c r="E15" s="1">
        <v>10</v>
      </c>
      <c r="J15" s="3">
        <v>27</v>
      </c>
      <c r="K15" s="1">
        <v>1</v>
      </c>
    </row>
    <row r="16" spans="1:11" ht="14.55" x14ac:dyDescent="0.35">
      <c r="A16" s="3" t="s">
        <v>34</v>
      </c>
      <c r="B16" s="1">
        <v>2</v>
      </c>
      <c r="D16" s="3" t="s">
        <v>10</v>
      </c>
      <c r="E16" s="1">
        <v>8</v>
      </c>
      <c r="J16" s="3">
        <v>28</v>
      </c>
      <c r="K16" s="1">
        <v>1</v>
      </c>
    </row>
    <row r="17" spans="1:11" ht="14.55" x14ac:dyDescent="0.35">
      <c r="A17" s="3" t="s">
        <v>28</v>
      </c>
      <c r="B17" s="1">
        <v>1</v>
      </c>
      <c r="D17" s="3" t="s">
        <v>67</v>
      </c>
      <c r="E17" s="1">
        <v>9</v>
      </c>
      <c r="I17">
        <f>SUM(E4:E7)</f>
        <v>2601993</v>
      </c>
      <c r="J17" s="3">
        <v>29</v>
      </c>
      <c r="K17" s="1">
        <v>2</v>
      </c>
    </row>
    <row r="18" spans="1:11" ht="14.55" x14ac:dyDescent="0.35">
      <c r="A18" s="3" t="s">
        <v>78</v>
      </c>
      <c r="B18" s="1">
        <v>3</v>
      </c>
      <c r="D18" s="3" t="s">
        <v>98</v>
      </c>
      <c r="E18" s="1">
        <v>2</v>
      </c>
      <c r="J18" s="3">
        <v>31</v>
      </c>
      <c r="K18" s="1">
        <v>3</v>
      </c>
    </row>
    <row r="19" spans="1:11" ht="14.55" x14ac:dyDescent="0.35">
      <c r="A19" s="3" t="s">
        <v>41</v>
      </c>
      <c r="B19" s="1">
        <v>4</v>
      </c>
      <c r="D19" s="3" t="s">
        <v>54</v>
      </c>
      <c r="E19" s="1">
        <v>7</v>
      </c>
      <c r="J19" s="3">
        <v>32</v>
      </c>
      <c r="K19" s="1">
        <v>2</v>
      </c>
    </row>
    <row r="20" spans="1:11" ht="14.55" x14ac:dyDescent="0.35">
      <c r="A20" s="3" t="s">
        <v>110</v>
      </c>
      <c r="B20" s="1">
        <v>40</v>
      </c>
      <c r="D20" s="3" t="s">
        <v>22</v>
      </c>
      <c r="E20" s="1">
        <v>1</v>
      </c>
      <c r="J20" s="3">
        <v>33</v>
      </c>
      <c r="K20" s="1">
        <v>2</v>
      </c>
    </row>
    <row r="21" spans="1:11" ht="14.55" x14ac:dyDescent="0.35">
      <c r="B21">
        <f>SUM(B10:B19)</f>
        <v>40</v>
      </c>
      <c r="D21" s="3" t="s">
        <v>100</v>
      </c>
      <c r="E21" s="1">
        <v>1</v>
      </c>
      <c r="J21" s="3">
        <v>34</v>
      </c>
      <c r="K21" s="1">
        <v>2</v>
      </c>
    </row>
    <row r="22" spans="1:11" ht="14.55" x14ac:dyDescent="0.35">
      <c r="D22" s="3" t="s">
        <v>102</v>
      </c>
      <c r="E22" s="1">
        <v>6</v>
      </c>
      <c r="G22" s="2" t="s">
        <v>109</v>
      </c>
      <c r="H22" t="s">
        <v>112</v>
      </c>
      <c r="J22" s="3">
        <v>35</v>
      </c>
      <c r="K22" s="1">
        <v>3</v>
      </c>
    </row>
    <row r="23" spans="1:11" ht="14.55" x14ac:dyDescent="0.35">
      <c r="A23" s="4"/>
      <c r="B23" s="5"/>
      <c r="C23" s="6"/>
      <c r="D23" s="3" t="s">
        <v>46</v>
      </c>
      <c r="E23" s="1">
        <v>6</v>
      </c>
      <c r="G23" s="3" t="s">
        <v>24</v>
      </c>
      <c r="H23" s="1">
        <v>10</v>
      </c>
      <c r="J23" s="3">
        <v>36</v>
      </c>
      <c r="K23" s="1">
        <v>1</v>
      </c>
    </row>
    <row r="24" spans="1:11" ht="14.55" x14ac:dyDescent="0.35">
      <c r="A24" s="7"/>
      <c r="B24" s="8"/>
      <c r="C24" s="9"/>
      <c r="D24" s="3" t="s">
        <v>104</v>
      </c>
      <c r="E24" s="1">
        <v>1</v>
      </c>
      <c r="G24" s="3" t="s">
        <v>42</v>
      </c>
      <c r="H24" s="1">
        <v>9</v>
      </c>
      <c r="J24" s="3">
        <v>37</v>
      </c>
      <c r="K24" s="1">
        <v>3</v>
      </c>
    </row>
    <row r="25" spans="1:11" ht="14.55" x14ac:dyDescent="0.35">
      <c r="A25" s="7"/>
      <c r="B25" s="8"/>
      <c r="C25" s="9"/>
      <c r="D25" s="3" t="s">
        <v>52</v>
      </c>
      <c r="E25" s="1">
        <v>12</v>
      </c>
      <c r="G25" s="3" t="s">
        <v>18</v>
      </c>
      <c r="H25" s="1">
        <v>9</v>
      </c>
      <c r="J25" s="3" t="s">
        <v>110</v>
      </c>
      <c r="K25" s="1">
        <v>40</v>
      </c>
    </row>
    <row r="26" spans="1:11" ht="14.55" x14ac:dyDescent="0.35">
      <c r="A26" s="7"/>
      <c r="B26" s="8"/>
      <c r="C26" s="9"/>
      <c r="D26" s="3" t="s">
        <v>106</v>
      </c>
      <c r="E26" s="1">
        <v>10</v>
      </c>
      <c r="G26" s="3" t="s">
        <v>12</v>
      </c>
      <c r="H26" s="1">
        <v>12</v>
      </c>
    </row>
    <row r="27" spans="1:11" ht="14.55" x14ac:dyDescent="0.35">
      <c r="A27" s="7"/>
      <c r="B27" s="8"/>
      <c r="C27" s="9"/>
      <c r="D27" s="3" t="s">
        <v>77</v>
      </c>
      <c r="E27" s="1">
        <v>9</v>
      </c>
      <c r="G27" s="3" t="s">
        <v>110</v>
      </c>
      <c r="H27" s="1">
        <v>40</v>
      </c>
    </row>
    <row r="28" spans="1:11" ht="14.55" x14ac:dyDescent="0.35">
      <c r="A28" s="7"/>
      <c r="B28" s="8"/>
      <c r="C28" s="9"/>
      <c r="D28" s="3" t="s">
        <v>63</v>
      </c>
      <c r="E28" s="1">
        <v>9</v>
      </c>
      <c r="I28">
        <f>COUNT(H23:H26)</f>
        <v>4</v>
      </c>
    </row>
    <row r="29" spans="1:11" ht="14.55" x14ac:dyDescent="0.35">
      <c r="A29" s="7"/>
      <c r="B29" s="8"/>
      <c r="C29" s="9"/>
      <c r="D29" s="3" t="s">
        <v>80</v>
      </c>
      <c r="E29" s="1">
        <v>10</v>
      </c>
    </row>
    <row r="30" spans="1:11" ht="14.55" x14ac:dyDescent="0.35">
      <c r="A30" s="7"/>
      <c r="B30" s="8"/>
      <c r="C30" s="9"/>
      <c r="D30" s="3" t="s">
        <v>82</v>
      </c>
      <c r="E30" s="1">
        <v>8</v>
      </c>
    </row>
    <row r="31" spans="1:11" ht="14.55" x14ac:dyDescent="0.35">
      <c r="A31" s="7"/>
      <c r="B31" s="8"/>
      <c r="C31" s="9"/>
      <c r="D31" s="3" t="s">
        <v>38</v>
      </c>
      <c r="E31" s="1">
        <v>6</v>
      </c>
    </row>
    <row r="32" spans="1:11" ht="14.55" x14ac:dyDescent="0.35">
      <c r="A32" s="7"/>
      <c r="B32" s="8"/>
      <c r="C32" s="9"/>
      <c r="D32" s="3" t="s">
        <v>69</v>
      </c>
      <c r="E32" s="1">
        <v>7</v>
      </c>
    </row>
    <row r="33" spans="1:5" x14ac:dyDescent="0.3">
      <c r="A33" s="7"/>
      <c r="B33" s="8"/>
      <c r="C33" s="9"/>
      <c r="D33" s="3" t="s">
        <v>50</v>
      </c>
      <c r="E33" s="1">
        <v>1</v>
      </c>
    </row>
    <row r="34" spans="1:5" x14ac:dyDescent="0.3">
      <c r="A34" s="7"/>
      <c r="B34" s="8"/>
      <c r="C34" s="9"/>
      <c r="D34" s="3" t="s">
        <v>44</v>
      </c>
      <c r="E34" s="1">
        <v>9</v>
      </c>
    </row>
    <row r="35" spans="1:5" x14ac:dyDescent="0.3">
      <c r="A35" s="7"/>
      <c r="B35" s="8"/>
      <c r="C35" s="9"/>
      <c r="D35" s="3" t="s">
        <v>84</v>
      </c>
      <c r="E35" s="1">
        <v>12</v>
      </c>
    </row>
    <row r="36" spans="1:5" x14ac:dyDescent="0.3">
      <c r="A36" s="7"/>
      <c r="B36" s="8"/>
      <c r="C36" s="9"/>
      <c r="D36" s="3" t="s">
        <v>27</v>
      </c>
      <c r="E36" s="1">
        <v>11</v>
      </c>
    </row>
    <row r="37" spans="1:5" x14ac:dyDescent="0.3">
      <c r="A37" s="7"/>
      <c r="B37" s="8"/>
      <c r="C37" s="9"/>
      <c r="D37" s="3" t="s">
        <v>61</v>
      </c>
      <c r="E37" s="1">
        <v>6</v>
      </c>
    </row>
    <row r="38" spans="1:5" x14ac:dyDescent="0.3">
      <c r="A38" s="7"/>
      <c r="B38" s="8"/>
      <c r="C38" s="9"/>
      <c r="D38" s="3" t="s">
        <v>73</v>
      </c>
      <c r="E38" s="1">
        <v>8</v>
      </c>
    </row>
    <row r="39" spans="1:5" x14ac:dyDescent="0.3">
      <c r="A39" s="7"/>
      <c r="B39" s="8"/>
      <c r="C39" s="9"/>
      <c r="D39" s="3" t="s">
        <v>86</v>
      </c>
      <c r="E39" s="1">
        <v>4</v>
      </c>
    </row>
    <row r="40" spans="1:5" x14ac:dyDescent="0.3">
      <c r="A40" s="10"/>
      <c r="B40" s="11"/>
      <c r="C40" s="12"/>
      <c r="D40" s="3" t="s">
        <v>33</v>
      </c>
      <c r="E40" s="1">
        <v>1</v>
      </c>
    </row>
    <row r="41" spans="1:5" x14ac:dyDescent="0.3">
      <c r="D41" s="3" t="s">
        <v>16</v>
      </c>
      <c r="E41" s="1">
        <v>4</v>
      </c>
    </row>
    <row r="42" spans="1:5" x14ac:dyDescent="0.3">
      <c r="D42" s="3" t="s">
        <v>59</v>
      </c>
      <c r="E42" s="1">
        <v>6</v>
      </c>
    </row>
    <row r="43" spans="1:5" x14ac:dyDescent="0.3">
      <c r="D43" s="3" t="s">
        <v>48</v>
      </c>
      <c r="E43" s="1">
        <v>10</v>
      </c>
    </row>
    <row r="44" spans="1:5" x14ac:dyDescent="0.3">
      <c r="D44" s="3" t="s">
        <v>88</v>
      </c>
      <c r="E44" s="1">
        <v>7</v>
      </c>
    </row>
    <row r="45" spans="1:5" x14ac:dyDescent="0.3">
      <c r="D45" s="3" t="s">
        <v>57</v>
      </c>
      <c r="E45" s="1">
        <v>2</v>
      </c>
    </row>
    <row r="46" spans="1:5" x14ac:dyDescent="0.3">
      <c r="D46" s="3" t="s">
        <v>36</v>
      </c>
      <c r="E46" s="1">
        <v>2</v>
      </c>
    </row>
    <row r="47" spans="1:5" x14ac:dyDescent="0.3">
      <c r="D47" s="3" t="s">
        <v>90</v>
      </c>
      <c r="E47" s="1">
        <v>10</v>
      </c>
    </row>
    <row r="48" spans="1:5" x14ac:dyDescent="0.3">
      <c r="D48" s="3" t="s">
        <v>92</v>
      </c>
      <c r="E48" s="1">
        <v>12</v>
      </c>
    </row>
    <row r="49" spans="4:5" x14ac:dyDescent="0.3">
      <c r="D49" s="3" t="s">
        <v>94</v>
      </c>
      <c r="E49" s="1">
        <v>4</v>
      </c>
    </row>
    <row r="50" spans="4:5" x14ac:dyDescent="0.3">
      <c r="D50" s="3" t="s">
        <v>71</v>
      </c>
      <c r="E50" s="1">
        <v>4</v>
      </c>
    </row>
    <row r="51" spans="4:5" x14ac:dyDescent="0.3">
      <c r="D51" s="3" t="s">
        <v>30</v>
      </c>
      <c r="E51" s="1">
        <v>6</v>
      </c>
    </row>
    <row r="52" spans="4:5" x14ac:dyDescent="0.3">
      <c r="D52" s="3" t="s">
        <v>96</v>
      </c>
      <c r="E52" s="1">
        <v>7</v>
      </c>
    </row>
    <row r="53" spans="4:5" x14ac:dyDescent="0.3">
      <c r="D53" s="3" t="s">
        <v>110</v>
      </c>
      <c r="E53" s="1">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117" zoomScaleNormal="117" workbookViewId="0">
      <selection activeCell="D1" sqref="D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L8" sqref="L8"/>
    </sheetView>
  </sheetViews>
  <sheetFormatPr defaultRowHeight="14.4" x14ac:dyDescent="0.3"/>
  <cols>
    <col min="1" max="1" width="13.21875" customWidth="1"/>
    <col min="2" max="2" width="16.33203125" customWidth="1"/>
    <col min="4" max="4" width="18.21875" customWidth="1"/>
    <col min="5" max="5" width="16.77734375" bestFit="1" customWidth="1"/>
    <col min="6" max="6" width="13.109375" customWidth="1"/>
    <col min="7" max="7" width="18.88671875" customWidth="1"/>
    <col min="8" max="8" width="10.5546875" customWidth="1"/>
    <col min="9" max="9" width="19.6640625" customWidth="1"/>
  </cols>
  <sheetData>
    <row r="1" spans="1:9" x14ac:dyDescent="0.3">
      <c r="A1" t="s">
        <v>0</v>
      </c>
      <c r="B1" t="s">
        <v>1</v>
      </c>
      <c r="C1" t="s">
        <v>2</v>
      </c>
      <c r="D1" t="s">
        <v>3</v>
      </c>
      <c r="E1" t="s">
        <v>4</v>
      </c>
      <c r="F1" t="s">
        <v>5</v>
      </c>
      <c r="G1" t="s">
        <v>6</v>
      </c>
      <c r="H1" t="s">
        <v>7</v>
      </c>
      <c r="I1" t="s">
        <v>8</v>
      </c>
    </row>
    <row r="2" spans="1:9" ht="14.55" x14ac:dyDescent="0.35">
      <c r="A2" t="s">
        <v>9</v>
      </c>
      <c r="B2" t="s">
        <v>10</v>
      </c>
      <c r="C2">
        <v>23</v>
      </c>
      <c r="D2">
        <v>8</v>
      </c>
      <c r="E2" t="s">
        <v>11</v>
      </c>
      <c r="F2" t="s">
        <v>12</v>
      </c>
      <c r="G2" t="s">
        <v>13</v>
      </c>
      <c r="H2">
        <v>102784</v>
      </c>
      <c r="I2" t="s">
        <v>14</v>
      </c>
    </row>
    <row r="3" spans="1:9" ht="14.55" x14ac:dyDescent="0.35">
      <c r="A3" t="s">
        <v>15</v>
      </c>
      <c r="B3" t="s">
        <v>16</v>
      </c>
      <c r="C3">
        <v>22</v>
      </c>
      <c r="D3">
        <v>4</v>
      </c>
      <c r="E3" t="s">
        <v>17</v>
      </c>
      <c r="F3" t="s">
        <v>18</v>
      </c>
      <c r="G3" t="s">
        <v>19</v>
      </c>
      <c r="H3">
        <v>17934</v>
      </c>
      <c r="I3" t="s">
        <v>20</v>
      </c>
    </row>
    <row r="4" spans="1:9" ht="14.55" x14ac:dyDescent="0.35">
      <c r="A4" t="s">
        <v>21</v>
      </c>
      <c r="B4" t="s">
        <v>22</v>
      </c>
      <c r="C4">
        <v>35</v>
      </c>
      <c r="D4">
        <v>1</v>
      </c>
      <c r="E4" t="s">
        <v>23</v>
      </c>
      <c r="F4" t="s">
        <v>24</v>
      </c>
      <c r="G4" t="s">
        <v>25</v>
      </c>
      <c r="H4">
        <v>110097</v>
      </c>
      <c r="I4" t="s">
        <v>20</v>
      </c>
    </row>
    <row r="5" spans="1:9" ht="14.55" x14ac:dyDescent="0.35">
      <c r="A5" t="s">
        <v>26</v>
      </c>
      <c r="B5" t="s">
        <v>27</v>
      </c>
      <c r="C5">
        <v>36</v>
      </c>
      <c r="D5">
        <v>11</v>
      </c>
      <c r="E5" t="s">
        <v>25</v>
      </c>
      <c r="F5" t="s">
        <v>24</v>
      </c>
      <c r="G5" t="s">
        <v>28</v>
      </c>
      <c r="H5">
        <v>50827</v>
      </c>
      <c r="I5" t="s">
        <v>20</v>
      </c>
    </row>
    <row r="6" spans="1:9" ht="14.55" x14ac:dyDescent="0.35">
      <c r="A6" t="s">
        <v>29</v>
      </c>
      <c r="B6" t="s">
        <v>30</v>
      </c>
      <c r="C6">
        <v>22</v>
      </c>
      <c r="D6">
        <v>6</v>
      </c>
      <c r="E6" t="s">
        <v>23</v>
      </c>
      <c r="F6" t="s">
        <v>12</v>
      </c>
      <c r="G6" t="s">
        <v>31</v>
      </c>
      <c r="H6">
        <v>106255</v>
      </c>
      <c r="I6" t="s">
        <v>14</v>
      </c>
    </row>
    <row r="7" spans="1:9" ht="14.55" x14ac:dyDescent="0.35">
      <c r="A7" t="s">
        <v>32</v>
      </c>
      <c r="B7" t="s">
        <v>33</v>
      </c>
      <c r="C7">
        <v>37</v>
      </c>
      <c r="D7">
        <v>1</v>
      </c>
      <c r="E7" t="s">
        <v>34</v>
      </c>
      <c r="F7" t="s">
        <v>24</v>
      </c>
      <c r="G7" t="s">
        <v>25</v>
      </c>
      <c r="H7">
        <v>47331</v>
      </c>
      <c r="I7" t="s">
        <v>20</v>
      </c>
    </row>
    <row r="8" spans="1:9" ht="14.55" x14ac:dyDescent="0.35">
      <c r="A8" t="s">
        <v>35</v>
      </c>
      <c r="B8" t="s">
        <v>36</v>
      </c>
      <c r="C8">
        <v>37</v>
      </c>
      <c r="D8">
        <v>2</v>
      </c>
      <c r="E8" t="s">
        <v>17</v>
      </c>
      <c r="F8" t="s">
        <v>12</v>
      </c>
      <c r="G8" t="s">
        <v>28</v>
      </c>
      <c r="H8">
        <v>74611</v>
      </c>
      <c r="I8" t="s">
        <v>20</v>
      </c>
    </row>
    <row r="9" spans="1:9" ht="14.55" x14ac:dyDescent="0.35">
      <c r="A9" t="s">
        <v>37</v>
      </c>
      <c r="B9" t="s">
        <v>38</v>
      </c>
      <c r="C9">
        <v>28</v>
      </c>
      <c r="D9">
        <v>6</v>
      </c>
      <c r="E9" t="s">
        <v>11</v>
      </c>
      <c r="F9" t="s">
        <v>24</v>
      </c>
      <c r="G9" t="s">
        <v>19</v>
      </c>
      <c r="H9">
        <v>101637</v>
      </c>
      <c r="I9" t="s">
        <v>20</v>
      </c>
    </row>
    <row r="10" spans="1:9" ht="14.55" x14ac:dyDescent="0.35">
      <c r="A10" t="s">
        <v>39</v>
      </c>
      <c r="B10" t="s">
        <v>40</v>
      </c>
      <c r="C10">
        <v>23</v>
      </c>
      <c r="D10">
        <v>10</v>
      </c>
      <c r="E10" t="s">
        <v>41</v>
      </c>
      <c r="F10" t="s">
        <v>42</v>
      </c>
      <c r="G10" t="s">
        <v>28</v>
      </c>
      <c r="H10">
        <v>26870</v>
      </c>
      <c r="I10" t="s">
        <v>14</v>
      </c>
    </row>
    <row r="11" spans="1:9" ht="14.55" x14ac:dyDescent="0.35">
      <c r="A11" t="s">
        <v>43</v>
      </c>
      <c r="B11" t="s">
        <v>44</v>
      </c>
      <c r="C11">
        <v>25</v>
      </c>
      <c r="D11">
        <v>9</v>
      </c>
      <c r="E11" t="s">
        <v>23</v>
      </c>
      <c r="F11" t="s">
        <v>12</v>
      </c>
      <c r="G11" t="s">
        <v>25</v>
      </c>
      <c r="H11">
        <v>22467</v>
      </c>
      <c r="I11" t="s">
        <v>14</v>
      </c>
    </row>
    <row r="12" spans="1:9" ht="14.55" x14ac:dyDescent="0.35">
      <c r="A12" t="s">
        <v>45</v>
      </c>
      <c r="B12" t="s">
        <v>46</v>
      </c>
      <c r="C12">
        <v>29</v>
      </c>
      <c r="D12">
        <v>6</v>
      </c>
      <c r="E12" t="s">
        <v>23</v>
      </c>
      <c r="F12" t="s">
        <v>18</v>
      </c>
      <c r="G12" t="s">
        <v>28</v>
      </c>
      <c r="H12">
        <v>75749</v>
      </c>
      <c r="I12" t="s">
        <v>14</v>
      </c>
    </row>
    <row r="13" spans="1:9" ht="14.55" x14ac:dyDescent="0.35">
      <c r="A13" t="s">
        <v>47</v>
      </c>
      <c r="B13" t="s">
        <v>48</v>
      </c>
      <c r="C13">
        <v>23</v>
      </c>
      <c r="D13">
        <v>10</v>
      </c>
      <c r="E13" t="s">
        <v>23</v>
      </c>
      <c r="F13" t="s">
        <v>18</v>
      </c>
      <c r="G13" t="s">
        <v>19</v>
      </c>
      <c r="H13">
        <v>33216</v>
      </c>
      <c r="I13" t="s">
        <v>14</v>
      </c>
    </row>
    <row r="14" spans="1:9" ht="14.55" x14ac:dyDescent="0.35">
      <c r="A14" t="s">
        <v>49</v>
      </c>
      <c r="B14" t="s">
        <v>50</v>
      </c>
      <c r="C14">
        <v>35</v>
      </c>
      <c r="D14">
        <v>1</v>
      </c>
      <c r="E14" t="s">
        <v>31</v>
      </c>
      <c r="F14" t="s">
        <v>18</v>
      </c>
      <c r="G14" t="s">
        <v>13</v>
      </c>
      <c r="H14">
        <v>21955</v>
      </c>
      <c r="I14" t="s">
        <v>20</v>
      </c>
    </row>
    <row r="15" spans="1:9" ht="14.55" x14ac:dyDescent="0.35">
      <c r="A15" t="s">
        <v>51</v>
      </c>
      <c r="B15" t="s">
        <v>52</v>
      </c>
      <c r="C15">
        <v>24</v>
      </c>
      <c r="D15">
        <v>12</v>
      </c>
      <c r="E15" t="s">
        <v>17</v>
      </c>
      <c r="F15" t="s">
        <v>12</v>
      </c>
      <c r="G15" t="s">
        <v>31</v>
      </c>
      <c r="H15">
        <v>45879</v>
      </c>
      <c r="I15" t="s">
        <v>14</v>
      </c>
    </row>
    <row r="16" spans="1:9" ht="14.55" x14ac:dyDescent="0.35">
      <c r="A16" t="s">
        <v>53</v>
      </c>
      <c r="B16" t="s">
        <v>54</v>
      </c>
      <c r="C16">
        <v>37</v>
      </c>
      <c r="D16">
        <v>7</v>
      </c>
      <c r="E16" t="s">
        <v>55</v>
      </c>
      <c r="F16" t="s">
        <v>42</v>
      </c>
      <c r="G16" t="s">
        <v>28</v>
      </c>
      <c r="H16">
        <v>80471</v>
      </c>
      <c r="I16" t="s">
        <v>14</v>
      </c>
    </row>
    <row r="17" spans="1:9" ht="14.55" x14ac:dyDescent="0.35">
      <c r="A17" t="s">
        <v>56</v>
      </c>
      <c r="B17" t="s">
        <v>57</v>
      </c>
      <c r="C17">
        <v>25</v>
      </c>
      <c r="D17">
        <v>2</v>
      </c>
      <c r="E17" t="s">
        <v>11</v>
      </c>
      <c r="F17" t="s">
        <v>12</v>
      </c>
      <c r="G17" t="s">
        <v>19</v>
      </c>
      <c r="H17">
        <v>117948</v>
      </c>
      <c r="I17" t="s">
        <v>14</v>
      </c>
    </row>
    <row r="18" spans="1:9" ht="14.55" x14ac:dyDescent="0.35">
      <c r="A18" t="s">
        <v>58</v>
      </c>
      <c r="B18" t="s">
        <v>59</v>
      </c>
      <c r="C18">
        <v>33</v>
      </c>
      <c r="D18">
        <v>6</v>
      </c>
      <c r="E18" t="s">
        <v>31</v>
      </c>
      <c r="F18" t="s">
        <v>18</v>
      </c>
      <c r="G18" t="s">
        <v>13</v>
      </c>
      <c r="H18">
        <v>25640</v>
      </c>
      <c r="I18" t="s">
        <v>20</v>
      </c>
    </row>
    <row r="19" spans="1:9" ht="14.55" x14ac:dyDescent="0.35">
      <c r="A19" t="s">
        <v>60</v>
      </c>
      <c r="B19" t="s">
        <v>61</v>
      </c>
      <c r="C19">
        <v>25</v>
      </c>
      <c r="D19">
        <v>6</v>
      </c>
      <c r="E19" t="s">
        <v>25</v>
      </c>
      <c r="F19" t="s">
        <v>42</v>
      </c>
      <c r="G19" t="s">
        <v>25</v>
      </c>
      <c r="H19">
        <v>31048</v>
      </c>
      <c r="I19" t="s">
        <v>20</v>
      </c>
    </row>
    <row r="20" spans="1:9" ht="14.55" x14ac:dyDescent="0.35">
      <c r="A20" t="s">
        <v>62</v>
      </c>
      <c r="B20" t="s">
        <v>63</v>
      </c>
      <c r="C20">
        <v>31</v>
      </c>
      <c r="D20">
        <v>9</v>
      </c>
      <c r="E20" t="s">
        <v>41</v>
      </c>
      <c r="F20" t="s">
        <v>42</v>
      </c>
      <c r="G20" t="s">
        <v>25</v>
      </c>
      <c r="H20">
        <v>57775</v>
      </c>
      <c r="I20" t="s">
        <v>20</v>
      </c>
    </row>
    <row r="21" spans="1:9" ht="14.55" x14ac:dyDescent="0.35">
      <c r="A21" t="s">
        <v>64</v>
      </c>
      <c r="B21" t="s">
        <v>65</v>
      </c>
      <c r="C21">
        <v>27</v>
      </c>
      <c r="D21">
        <v>11</v>
      </c>
      <c r="E21" t="s">
        <v>17</v>
      </c>
      <c r="F21" t="s">
        <v>42</v>
      </c>
      <c r="G21" t="s">
        <v>31</v>
      </c>
      <c r="H21">
        <v>45692</v>
      </c>
      <c r="I21" t="s">
        <v>20</v>
      </c>
    </row>
    <row r="22" spans="1:9" ht="14.55" x14ac:dyDescent="0.35">
      <c r="A22" t="s">
        <v>66</v>
      </c>
      <c r="B22" t="s">
        <v>67</v>
      </c>
      <c r="C22">
        <v>26</v>
      </c>
      <c r="D22">
        <v>9</v>
      </c>
      <c r="E22" t="s">
        <v>23</v>
      </c>
      <c r="F22" t="s">
        <v>42</v>
      </c>
      <c r="G22" t="s">
        <v>13</v>
      </c>
      <c r="H22">
        <v>44996</v>
      </c>
      <c r="I22" t="s">
        <v>20</v>
      </c>
    </row>
    <row r="23" spans="1:9" ht="14.55" x14ac:dyDescent="0.35">
      <c r="A23" t="s">
        <v>68</v>
      </c>
      <c r="B23" t="s">
        <v>69</v>
      </c>
      <c r="C23">
        <v>26</v>
      </c>
      <c r="D23">
        <v>7</v>
      </c>
      <c r="E23" t="s">
        <v>11</v>
      </c>
      <c r="F23" t="s">
        <v>12</v>
      </c>
      <c r="G23" t="s">
        <v>25</v>
      </c>
      <c r="H23">
        <v>58926</v>
      </c>
      <c r="I23" t="s">
        <v>14</v>
      </c>
    </row>
    <row r="24" spans="1:9" ht="14.55" x14ac:dyDescent="0.35">
      <c r="A24" t="s">
        <v>70</v>
      </c>
      <c r="B24" t="s">
        <v>71</v>
      </c>
      <c r="C24">
        <v>23</v>
      </c>
      <c r="D24">
        <v>4</v>
      </c>
      <c r="E24" t="s">
        <v>55</v>
      </c>
      <c r="F24" t="s">
        <v>24</v>
      </c>
      <c r="G24" t="s">
        <v>13</v>
      </c>
      <c r="H24">
        <v>51757</v>
      </c>
      <c r="I24" t="s">
        <v>14</v>
      </c>
    </row>
    <row r="25" spans="1:9" ht="14.55" x14ac:dyDescent="0.35">
      <c r="A25" t="s">
        <v>72</v>
      </c>
      <c r="B25" t="s">
        <v>73</v>
      </c>
      <c r="C25">
        <v>34</v>
      </c>
      <c r="D25">
        <v>8</v>
      </c>
      <c r="E25" t="s">
        <v>41</v>
      </c>
      <c r="F25" t="s">
        <v>12</v>
      </c>
      <c r="G25" t="s">
        <v>19</v>
      </c>
      <c r="H25">
        <v>93889</v>
      </c>
      <c r="I25" t="s">
        <v>14</v>
      </c>
    </row>
    <row r="26" spans="1:9" ht="14.55" x14ac:dyDescent="0.35">
      <c r="A26" t="s">
        <v>74</v>
      </c>
      <c r="B26" t="s">
        <v>75</v>
      </c>
      <c r="C26">
        <v>34</v>
      </c>
      <c r="D26">
        <v>9</v>
      </c>
      <c r="E26" t="s">
        <v>25</v>
      </c>
      <c r="F26" t="s">
        <v>42</v>
      </c>
      <c r="G26" t="s">
        <v>25</v>
      </c>
      <c r="H26">
        <v>68278</v>
      </c>
      <c r="I26" t="s">
        <v>20</v>
      </c>
    </row>
    <row r="27" spans="1:9" ht="14.55" x14ac:dyDescent="0.35">
      <c r="A27" t="s">
        <v>76</v>
      </c>
      <c r="B27" t="s">
        <v>77</v>
      </c>
      <c r="C27">
        <v>22</v>
      </c>
      <c r="D27">
        <v>9</v>
      </c>
      <c r="E27" t="s">
        <v>78</v>
      </c>
      <c r="F27" t="s">
        <v>18</v>
      </c>
      <c r="G27" t="s">
        <v>28</v>
      </c>
      <c r="H27">
        <v>115066</v>
      </c>
      <c r="I27" t="s">
        <v>14</v>
      </c>
    </row>
    <row r="28" spans="1:9" ht="14.55" x14ac:dyDescent="0.35">
      <c r="A28" t="s">
        <v>79</v>
      </c>
      <c r="B28" t="s">
        <v>80</v>
      </c>
      <c r="C28">
        <v>29</v>
      </c>
      <c r="D28">
        <v>10</v>
      </c>
      <c r="E28" t="s">
        <v>55</v>
      </c>
      <c r="F28" t="s">
        <v>12</v>
      </c>
      <c r="G28" t="s">
        <v>28</v>
      </c>
      <c r="H28">
        <v>45436</v>
      </c>
      <c r="I28" t="s">
        <v>20</v>
      </c>
    </row>
    <row r="29" spans="1:9" ht="14.55" x14ac:dyDescent="0.35">
      <c r="A29" t="s">
        <v>81</v>
      </c>
      <c r="B29" t="s">
        <v>82</v>
      </c>
      <c r="C29">
        <v>24</v>
      </c>
      <c r="D29">
        <v>8</v>
      </c>
      <c r="E29" t="s">
        <v>78</v>
      </c>
      <c r="F29" t="s">
        <v>24</v>
      </c>
      <c r="G29" t="s">
        <v>25</v>
      </c>
      <c r="H29">
        <v>15636</v>
      </c>
      <c r="I29" t="s">
        <v>20</v>
      </c>
    </row>
    <row r="30" spans="1:9" ht="14.55" x14ac:dyDescent="0.35">
      <c r="A30" t="s">
        <v>83</v>
      </c>
      <c r="B30" t="s">
        <v>84</v>
      </c>
      <c r="C30">
        <v>33</v>
      </c>
      <c r="D30">
        <v>12</v>
      </c>
      <c r="E30" t="s">
        <v>23</v>
      </c>
      <c r="F30" t="s">
        <v>12</v>
      </c>
      <c r="G30" t="s">
        <v>28</v>
      </c>
      <c r="H30">
        <v>43883</v>
      </c>
      <c r="I30" t="s">
        <v>20</v>
      </c>
    </row>
    <row r="31" spans="1:9" ht="14.55" x14ac:dyDescent="0.35">
      <c r="A31" t="s">
        <v>85</v>
      </c>
      <c r="B31" t="s">
        <v>86</v>
      </c>
      <c r="C31">
        <v>32</v>
      </c>
      <c r="D31">
        <v>4</v>
      </c>
      <c r="E31" t="s">
        <v>34</v>
      </c>
      <c r="F31" t="s">
        <v>24</v>
      </c>
      <c r="G31" t="s">
        <v>13</v>
      </c>
      <c r="H31">
        <v>114600</v>
      </c>
      <c r="I31" t="s">
        <v>14</v>
      </c>
    </row>
    <row r="32" spans="1:9" ht="14.55" x14ac:dyDescent="0.35">
      <c r="A32" t="s">
        <v>87</v>
      </c>
      <c r="B32" t="s">
        <v>88</v>
      </c>
      <c r="C32">
        <v>32</v>
      </c>
      <c r="D32">
        <v>7</v>
      </c>
      <c r="E32" t="s">
        <v>55</v>
      </c>
      <c r="F32" t="s">
        <v>18</v>
      </c>
      <c r="G32" t="s">
        <v>13</v>
      </c>
      <c r="H32">
        <v>94143</v>
      </c>
      <c r="I32" t="s">
        <v>14</v>
      </c>
    </row>
    <row r="33" spans="1:9" x14ac:dyDescent="0.3">
      <c r="A33" t="s">
        <v>89</v>
      </c>
      <c r="B33" t="s">
        <v>90</v>
      </c>
      <c r="C33">
        <v>26</v>
      </c>
      <c r="D33">
        <v>10</v>
      </c>
      <c r="E33" t="s">
        <v>41</v>
      </c>
      <c r="F33" t="s">
        <v>12</v>
      </c>
      <c r="G33" t="s">
        <v>19</v>
      </c>
      <c r="H33">
        <v>99200</v>
      </c>
      <c r="I33" t="s">
        <v>14</v>
      </c>
    </row>
    <row r="34" spans="1:9" x14ac:dyDescent="0.3">
      <c r="A34" t="s">
        <v>91</v>
      </c>
      <c r="B34" t="s">
        <v>92</v>
      </c>
      <c r="C34">
        <v>22</v>
      </c>
      <c r="D34">
        <v>12</v>
      </c>
      <c r="E34" t="s">
        <v>55</v>
      </c>
      <c r="F34" t="s">
        <v>24</v>
      </c>
      <c r="G34" t="s">
        <v>13</v>
      </c>
      <c r="H34">
        <v>18501</v>
      </c>
      <c r="I34" t="s">
        <v>20</v>
      </c>
    </row>
    <row r="35" spans="1:9" x14ac:dyDescent="0.3">
      <c r="A35" t="s">
        <v>93</v>
      </c>
      <c r="B35" t="s">
        <v>94</v>
      </c>
      <c r="C35">
        <v>31</v>
      </c>
      <c r="D35">
        <v>4</v>
      </c>
      <c r="E35" t="s">
        <v>23</v>
      </c>
      <c r="F35" t="s">
        <v>18</v>
      </c>
      <c r="G35" t="s">
        <v>25</v>
      </c>
      <c r="H35">
        <v>110159</v>
      </c>
      <c r="I35" t="s">
        <v>14</v>
      </c>
    </row>
    <row r="36" spans="1:9" x14ac:dyDescent="0.3">
      <c r="A36" t="s">
        <v>95</v>
      </c>
      <c r="B36" t="s">
        <v>96</v>
      </c>
      <c r="C36">
        <v>31</v>
      </c>
      <c r="D36">
        <v>7</v>
      </c>
      <c r="E36" t="s">
        <v>17</v>
      </c>
      <c r="F36" t="s">
        <v>12</v>
      </c>
      <c r="G36" t="s">
        <v>25</v>
      </c>
      <c r="H36">
        <v>109291</v>
      </c>
      <c r="I36" t="s">
        <v>14</v>
      </c>
    </row>
    <row r="37" spans="1:9" x14ac:dyDescent="0.3">
      <c r="A37" t="s">
        <v>97</v>
      </c>
      <c r="B37" t="s">
        <v>98</v>
      </c>
      <c r="C37">
        <v>35</v>
      </c>
      <c r="D37">
        <v>2</v>
      </c>
      <c r="E37" t="s">
        <v>31</v>
      </c>
      <c r="F37" t="s">
        <v>18</v>
      </c>
      <c r="G37" t="s">
        <v>25</v>
      </c>
      <c r="H37">
        <v>71646</v>
      </c>
      <c r="I37" t="s">
        <v>20</v>
      </c>
    </row>
    <row r="38" spans="1:9" x14ac:dyDescent="0.3">
      <c r="A38" t="s">
        <v>99</v>
      </c>
      <c r="B38" t="s">
        <v>100</v>
      </c>
      <c r="C38">
        <v>25</v>
      </c>
      <c r="D38">
        <v>1</v>
      </c>
      <c r="E38" t="s">
        <v>23</v>
      </c>
      <c r="F38" t="s">
        <v>24</v>
      </c>
      <c r="G38" t="s">
        <v>19</v>
      </c>
      <c r="H38">
        <v>73211</v>
      </c>
      <c r="I38" t="s">
        <v>20</v>
      </c>
    </row>
    <row r="39" spans="1:9" x14ac:dyDescent="0.3">
      <c r="A39" t="s">
        <v>101</v>
      </c>
      <c r="B39" t="s">
        <v>102</v>
      </c>
      <c r="C39">
        <v>26</v>
      </c>
      <c r="D39">
        <v>6</v>
      </c>
      <c r="E39" t="s">
        <v>78</v>
      </c>
      <c r="F39" t="s">
        <v>42</v>
      </c>
      <c r="G39" t="s">
        <v>19</v>
      </c>
      <c r="H39">
        <v>100962</v>
      </c>
      <c r="I39" t="s">
        <v>14</v>
      </c>
    </row>
    <row r="40" spans="1:9" x14ac:dyDescent="0.3">
      <c r="A40" t="s">
        <v>103</v>
      </c>
      <c r="B40" t="s">
        <v>104</v>
      </c>
      <c r="C40">
        <v>24</v>
      </c>
      <c r="D40">
        <v>1</v>
      </c>
      <c r="E40" t="s">
        <v>28</v>
      </c>
      <c r="F40" t="s">
        <v>42</v>
      </c>
      <c r="G40" t="s">
        <v>28</v>
      </c>
      <c r="H40">
        <v>54006</v>
      </c>
      <c r="I40" t="s">
        <v>14</v>
      </c>
    </row>
    <row r="41" spans="1:9" x14ac:dyDescent="0.3">
      <c r="A41" t="s">
        <v>105</v>
      </c>
      <c r="B41" t="s">
        <v>106</v>
      </c>
      <c r="C41">
        <v>25</v>
      </c>
      <c r="D41">
        <v>10</v>
      </c>
      <c r="E41" t="s">
        <v>17</v>
      </c>
      <c r="F41" t="s">
        <v>24</v>
      </c>
      <c r="G41" t="s">
        <v>19</v>
      </c>
      <c r="H41">
        <v>22221</v>
      </c>
      <c r="I41" t="s">
        <v>20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Employees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2026-03-26T14:24:52Z</dcterms:created>
  <dcterms:modified xsi:type="dcterms:W3CDTF">2026-09-19T06:35:32Z</dcterms:modified>
</cp:coreProperties>
</file>